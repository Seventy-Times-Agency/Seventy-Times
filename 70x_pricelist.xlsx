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Таргет" sheetId="2" state="visible" r:id="rId4"/>
    <sheet name="Автоматизация" sheetId="3" state="visible" r:id="rId5"/>
    <sheet name="AI-Бот" sheetId="4" state="visible" r:id="rId6"/>
    <sheet name="Сайты + SEO" sheetId="5" state="visible" r:id="rId7"/>
    <sheet name="70× Машина роста" sheetId="6" state="visible" r:id="rId8"/>
    <sheet name="Add-ons" sheetId="7" state="visible" r:id="rId9"/>
    <sheet name="Калькулятор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<sst xmlns="http://schemas.openxmlformats.org/spreadsheetml/2006/main" count="449" uniqueCount="332">
  <si>
    <t xml:space="preserve">70× | ПРАЙС-ЛИСТ УСЛУГ</t>
  </si>
  <si>
    <t xml:space="preserve">Все цены указаны в USD. Действуют для рынков США и Европы.</t>
  </si>
  <si>
    <t xml:space="preserve">УСЛУГА</t>
  </si>
  <si>
    <t xml:space="preserve">ПАКЕТ</t>
  </si>
  <si>
    <t xml:space="preserve">SETUP (разово)</t>
  </si>
  <si>
    <t xml:space="preserve">MONTHLY</t>
  </si>
  <si>
    <t xml:space="preserve">МИН. СРОК</t>
  </si>
  <si>
    <t xml:space="preserve">ОСОБЕННОСТИ</t>
  </si>
  <si>
    <t xml:space="preserve">ТАРГЕТ</t>
  </si>
  <si>
    <t xml:space="preserve">Starter</t>
  </si>
  <si>
    <t xml:space="preserve">3 мес</t>
  </si>
  <si>
    <t xml:space="preserve">+15% от ad budget. 1 платформа.</t>
  </si>
  <si>
    <t xml:space="preserve">Growth ⭐</t>
  </si>
  <si>
    <t xml:space="preserve">+15%. 2 платформы.</t>
  </si>
  <si>
    <t xml:space="preserve">Scale</t>
  </si>
  <si>
    <t xml:space="preserve">6 мес</t>
  </si>
  <si>
    <t xml:space="preserve">+12%. Все 3 платформы.</t>
  </si>
  <si>
    <t xml:space="preserve">АВТОМАТИЗАЦИЯ</t>
  </si>
  <si>
    <t xml:space="preserve">Mini</t>
  </si>
  <si>
    <t xml:space="preserve">—</t>
  </si>
  <si>
    <t xml:space="preserve">1 связка процессов.</t>
  </si>
  <si>
    <t xml:space="preserve">Standard ⭐</t>
  </si>
  <si>
    <t xml:space="preserve">3-5 связок, lead flow под ключ.</t>
  </si>
  <si>
    <t xml:space="preserve">Pro</t>
  </si>
  <si>
    <t xml:space="preserve">Custom код + AI-классификация.</t>
  </si>
  <si>
    <t xml:space="preserve">AI-БОТ (External)</t>
  </si>
  <si>
    <t xml:space="preserve">1 платформа, до 30 сценариев.</t>
  </si>
  <si>
    <t xml:space="preserve">2-3 платформы, до 80 сценариев.</t>
  </si>
  <si>
    <t xml:space="preserve">Все платформы, безлимит.</t>
  </si>
  <si>
    <t xml:space="preserve">AI-БОТ (Internal)</t>
  </si>
  <si>
    <t xml:space="preserve">Team</t>
  </si>
  <si>
    <t xml:space="preserve">Бот для команды (Notion/Drive).</t>
  </si>
  <si>
    <t xml:space="preserve">Custom</t>
  </si>
  <si>
    <t xml:space="preserve">AI-агент под бизнес-процесс.</t>
  </si>
  <si>
    <t xml:space="preserve">САЙТЫ</t>
  </si>
  <si>
    <t xml:space="preserve">Landing</t>
  </si>
  <si>
    <t xml:space="preserve">1 страница + базовая SEO.</t>
  </si>
  <si>
    <t xml:space="preserve">Business ⭐</t>
  </si>
  <si>
    <t xml:space="preserve">5-8 страниц + CMS + SEO.</t>
  </si>
  <si>
    <t xml:space="preserve">E-commerce</t>
  </si>
  <si>
    <t xml:space="preserve">Каталог + checkout + интеграции.</t>
  </si>
  <si>
    <t xml:space="preserve">SEO</t>
  </si>
  <si>
    <t xml:space="preserve">Base</t>
  </si>
  <si>
    <t xml:space="preserve">Технический аудит + on-page.</t>
  </si>
  <si>
    <t xml:space="preserve">Growth (по запросу)</t>
  </si>
  <si>
    <t xml:space="preserve">Контент + линкбилдинг.</t>
  </si>
  <si>
    <t xml:space="preserve">70× МАШИНА РОСТА — КОМПЛЕКСНЫЕ ПАКЕТЫ</t>
  </si>
  <si>
    <t xml:space="preserve">SETUP</t>
  </si>
  <si>
    <t xml:space="preserve">RETAINER/мес</t>
  </si>
  <si>
    <t xml:space="preserve">+ % AD</t>
  </si>
  <si>
    <t xml:space="preserve">КОМУ</t>
  </si>
  <si>
    <t xml:space="preserve">LAUNCH</t>
  </si>
  <si>
    <t xml:space="preserve">15%</t>
  </si>
  <si>
    <t xml:space="preserve">4 мес</t>
  </si>
  <si>
    <t xml:space="preserve">Стартап / новый бизнес. Включает Landing.</t>
  </si>
  <si>
    <t xml:space="preserve">GROWTH ⭐</t>
  </si>
  <si>
    <t xml:space="preserve">Растущий бизнес. Сайт +$1,100 опц.</t>
  </si>
  <si>
    <t xml:space="preserve">SCALE</t>
  </si>
  <si>
    <t xml:space="preserve">12%</t>
  </si>
  <si>
    <t xml:space="preserve">Зрелый бизнес. E-com сайт +$2,300 опц.</t>
  </si>
  <si>
    <t xml:space="preserve">ЛЕГЕНДА:</t>
  </si>
  <si>
    <t xml:space="preserve">Синий текст</t>
  </si>
  <si>
    <t xml:space="preserve">— цены и hardcoded значения (можно менять)</t>
  </si>
  <si>
    <t xml:space="preserve">Чёрный жирный</t>
  </si>
  <si>
    <t xml:space="preserve">— формулы и расчёты (не трогать)</t>
  </si>
  <si>
    <t xml:space="preserve">⭐</t>
  </si>
  <si>
    <t xml:space="preserve">— рекомендуемый пакет (anchor для продаж)</t>
  </si>
  <si>
    <t xml:space="preserve">ТАРГЕТИРОВАННАЯ РЕКЛАМА</t>
  </si>
  <si>
    <t xml:space="preserve">Модель: Setup (разово) + Monthly Retainer + 15% от рекламного бюджета. Ad budget оплачивается клиентом отдельно.</t>
  </si>
  <si>
    <t xml:space="preserve">ПАРАМЕТР</t>
  </si>
  <si>
    <t xml:space="preserve">STARTER</t>
  </si>
  <si>
    <t xml:space="preserve">ПРИМЕЧАНИЕ</t>
  </si>
  <si>
    <t xml:space="preserve">Setup (разово)</t>
  </si>
  <si>
    <t xml:space="preserve">Окупает первый месяц работы</t>
  </si>
  <si>
    <t xml:space="preserve">Monthly retainer</t>
  </si>
  <si>
    <t xml:space="preserve">Ежемесячный платёж</t>
  </si>
  <si>
    <t xml:space="preserve">% от ad budget</t>
  </si>
  <si>
    <t xml:space="preserve">Снижение на Scale = удержание клиента</t>
  </si>
  <si>
    <t xml:space="preserve">Мин. ad budget/мес</t>
  </si>
  <si>
    <t xml:space="preserve">Меньше = нет данных для оптимизации</t>
  </si>
  <si>
    <t xml:space="preserve">Платформы</t>
  </si>
  <si>
    <t xml:space="preserve">1 (Meta или Google)</t>
  </si>
  <si>
    <t xml:space="preserve">2 (Meta + Google или TikTok)</t>
  </si>
  <si>
    <t xml:space="preserve">3 (Meta + Google + TikTok)</t>
  </si>
  <si>
    <t xml:space="preserve">Креативы в месяц</t>
  </si>
  <si>
    <t xml:space="preserve">3 статики</t>
  </si>
  <si>
    <t xml:space="preserve">5 (статика + 2 motion)</t>
  </si>
  <si>
    <t xml:space="preserve">8-10 (статика + motion)</t>
  </si>
  <si>
    <t xml:space="preserve">Материалы предоставляет клиент</t>
  </si>
  <si>
    <t xml:space="preserve">A/B тесты</t>
  </si>
  <si>
    <t xml:space="preserve">базовые</t>
  </si>
  <si>
    <t xml:space="preserve">регулярные</t>
  </si>
  <si>
    <t xml:space="preserve">глубокие</t>
  </si>
  <si>
    <t xml:space="preserve">Ретаргетинг</t>
  </si>
  <si>
    <t xml:space="preserve">да</t>
  </si>
  <si>
    <t xml:space="preserve">да + look-alike</t>
  </si>
  <si>
    <t xml:space="preserve">Отчётность</t>
  </si>
  <si>
    <t xml:space="preserve">месячный отчёт</t>
  </si>
  <si>
    <t xml:space="preserve">еженедельно + созвон</t>
  </si>
  <si>
    <t xml:space="preserve">еженедельно + 2 стратсессии</t>
  </si>
  <si>
    <t xml:space="preserve">Минимальный срок</t>
  </si>
  <si>
    <t xml:space="preserve">Setup только в комплекте с retainer</t>
  </si>
  <si>
    <t xml:space="preserve">ПРИМЕР РАСЧЁТА — Клиент GROWTH с ad budget $3,000/мес</t>
  </si>
  <si>
    <t xml:space="preserve">Setup (1-й месяц)</t>
  </si>
  <si>
    <t xml:space="preserve">Ad budget клиента</t>
  </si>
  <si>
    <t xml:space="preserve">Комиссия с ad budget</t>
  </si>
  <si>
    <t xml:space="preserve">ИТОГО за 1-й месяц</t>
  </si>
  <si>
    <t xml:space="preserve">ИТОГО за следующие месяцы</t>
  </si>
  <si>
    <t xml:space="preserve">ИТОГО за 3 мес</t>
  </si>
  <si>
    <t xml:space="preserve">LEAD FLOW AUTOMATION</t>
  </si>
  <si>
    <t xml:space="preserve">Модель: Setup (разово) + Maintenance retainer. Подписки Make/Zapier — клиент платит сам.</t>
  </si>
  <si>
    <t xml:space="preserve">MINI</t>
  </si>
  <si>
    <t xml:space="preserve">STANDARD ⭐</t>
  </si>
  <si>
    <t xml:space="preserve">PRO</t>
  </si>
  <si>
    <t xml:space="preserve">Pro = от $2,500</t>
  </si>
  <si>
    <t xml:space="preserve">Maintenance retainer</t>
  </si>
  <si>
    <t xml:space="preserve">Поддержка + мелкие доработки</t>
  </si>
  <si>
    <t xml:space="preserve">Что входит</t>
  </si>
  <si>
    <t xml:space="preserve">1 связка: trigger → 1-2 actions</t>
  </si>
  <si>
    <t xml:space="preserve">3-5 связок, lead flow под ключ</t>
  </si>
  <si>
    <t xml:space="preserve">Кастомная логика + AI-классификация</t>
  </si>
  <si>
    <t xml:space="preserve">Пример</t>
  </si>
  <si>
    <t xml:space="preserve">Заявка → CRM + Telegram</t>
  </si>
  <si>
    <t xml:space="preserve">Заявка → CRM + WA авто-ответ + задача + повтор 24ч</t>
  </si>
  <si>
    <t xml:space="preserve">Custom Python + AI обработка</t>
  </si>
  <si>
    <t xml:space="preserve">Платформа</t>
  </si>
  <si>
    <t xml:space="preserve">Make/Zapier</t>
  </si>
  <si>
    <t xml:space="preserve">Make/n8n</t>
  </si>
  <si>
    <t xml:space="preserve">Custom (Python/Node) + AI</t>
  </si>
  <si>
    <t xml:space="preserve">Срок реализации</t>
  </si>
  <si>
    <t xml:space="preserve">3-5 дней</t>
  </si>
  <si>
    <t xml:space="preserve">1-2 недели</t>
  </si>
  <si>
    <t xml:space="preserve">3-4 недели</t>
  </si>
  <si>
    <t xml:space="preserve">Бесплатная поддержка после</t>
  </si>
  <si>
    <t xml:space="preserve">14 дней</t>
  </si>
  <si>
    <t xml:space="preserve">30 дней</t>
  </si>
  <si>
    <t xml:space="preserve">30 дней (далее обязательный maintenance)</t>
  </si>
  <si>
    <t xml:space="preserve">Подписки SaaS</t>
  </si>
  <si>
    <t xml:space="preserve">клиент платит</t>
  </si>
  <si>
    <t xml:space="preserve">Опционально через нас +25%</t>
  </si>
  <si>
    <t xml:space="preserve">AI-БОТ</t>
  </si>
  <si>
    <t xml:space="preserve">Модель: Setup + Maintenance. AI-токены и хостинг — у клиента (или через нас +30%).</t>
  </si>
  <si>
    <t xml:space="preserve">EXTERNAL BOT — AI-консультант для клиентов</t>
  </si>
  <si>
    <t xml:space="preserve">Pro = от $3,800</t>
  </si>
  <si>
    <t xml:space="preserve">Maintenance/мес</t>
  </si>
  <si>
    <t xml:space="preserve">1 (Telegram или сайт)</t>
  </si>
  <si>
    <t xml:space="preserve">2-3 (TG + IG + сайт)</t>
  </si>
  <si>
    <t xml:space="preserve">Все 3 (TG + IG + сайт)</t>
  </si>
  <si>
    <t xml:space="preserve">WhatsApp = отдельный add-on</t>
  </si>
  <si>
    <t xml:space="preserve">Сценарии</t>
  </si>
  <si>
    <t xml:space="preserve">до 30</t>
  </si>
  <si>
    <t xml:space="preserve">до 80</t>
  </si>
  <si>
    <t xml:space="preserve">безлимит + кастом</t>
  </si>
  <si>
    <t xml:space="preserve">AI-модель</t>
  </si>
  <si>
    <t xml:space="preserve">GPT-4o-mini / Haiku</t>
  </si>
  <si>
    <t xml:space="preserve">GPT-4o / Sonnet</t>
  </si>
  <si>
    <t xml:space="preserve">Любая по выбору</t>
  </si>
  <si>
    <t xml:space="preserve">Токены оплачивает клиент</t>
  </si>
  <si>
    <t xml:space="preserve">Голос бренда</t>
  </si>
  <si>
    <t xml:space="preserve">базовая адаптация</t>
  </si>
  <si>
    <t xml:space="preserve">кастом TOV</t>
  </si>
  <si>
    <t xml:space="preserve">полное обучение</t>
  </si>
  <si>
    <t xml:space="preserve">Интеграции</t>
  </si>
  <si>
    <t xml:space="preserve">Google Sheets</t>
  </si>
  <si>
    <t xml:space="preserve">+ CRM (1 на выбор)</t>
  </si>
  <si>
    <t xml:space="preserve">+ любые API + custom</t>
  </si>
  <si>
    <t xml:space="preserve">Языки</t>
  </si>
  <si>
    <t xml:space="preserve">до 3</t>
  </si>
  <si>
    <t xml:space="preserve">безлимит</t>
  </si>
  <si>
    <t xml:space="preserve">5-8 недель</t>
  </si>
  <si>
    <t xml:space="preserve">Минимальный maintenance</t>
  </si>
  <si>
    <t xml:space="preserve">INTERNAL BOT — AI-помощник команды (доп. услуга)</t>
  </si>
  <si>
    <t xml:space="preserve">TEAM</t>
  </si>
  <si>
    <t xml:space="preserve">CUSTOM</t>
  </si>
  <si>
    <t xml:space="preserve">Setup</t>
  </si>
  <si>
    <t xml:space="preserve">Custom = от $2,500</t>
  </si>
  <si>
    <t xml:space="preserve">Назначение</t>
  </si>
  <si>
    <t xml:space="preserve">Помощник для команды (FAQ, БЗ)</t>
  </si>
  <si>
    <t xml:space="preserve">AI-агент под бизнес-процесс</t>
  </si>
  <si>
    <t xml:space="preserve">Источники</t>
  </si>
  <si>
    <t xml:space="preserve">Notion / Google Drive / FAQ</t>
  </si>
  <si>
    <t xml:space="preserve">Любые источники + API</t>
  </si>
  <si>
    <t xml:space="preserve">Срок</t>
  </si>
  <si>
    <t xml:space="preserve">3-5 недель</t>
  </si>
  <si>
    <t xml:space="preserve">СОЗДАНИЕ САЙТОВ + SEO</t>
  </si>
  <si>
    <t xml:space="preserve">Тексты и брендинг — клиент. Хостинг и домен — на аккаунте клиента. 30 дней гарантии.</t>
  </si>
  <si>
    <t xml:space="preserve">LANDING</t>
  </si>
  <si>
    <t xml:space="preserve">BUSINESS ⭐</t>
  </si>
  <si>
    <t xml:space="preserve">E-COMMERCE</t>
  </si>
  <si>
    <t xml:space="preserve">E-com = от $3,000</t>
  </si>
  <si>
    <t xml:space="preserve">Страниц</t>
  </si>
  <si>
    <t xml:space="preserve">1 (long-form)</t>
  </si>
  <si>
    <t xml:space="preserve">5-8</t>
  </si>
  <si>
    <t xml:space="preserve">Каталог + checkout + 5-7</t>
  </si>
  <si>
    <t xml:space="preserve">Стек</t>
  </si>
  <si>
    <t xml:space="preserve">Framer / Tilda / Next.js</t>
  </si>
  <si>
    <t xml:space="preserve">Webflow / Tilda / Next.js</t>
  </si>
  <si>
    <t xml:space="preserve">Shopify / WooCom / Next.js+Stripe</t>
  </si>
  <si>
    <t xml:space="preserve">Дизайн</t>
  </si>
  <si>
    <t xml:space="preserve">Шаблон + адаптация</t>
  </si>
  <si>
    <t xml:space="preserve">Кастомный по референсам</t>
  </si>
  <si>
    <t xml:space="preserve">Кастомный + UX покупки</t>
  </si>
  <si>
    <t xml:space="preserve">Адаптивность</t>
  </si>
  <si>
    <t xml:space="preserve">Mobile + Desktop</t>
  </si>
  <si>
    <t xml:space="preserve">Mobile + Tablet + Desktop</t>
  </si>
  <si>
    <t xml:space="preserve">Полная + UX покупки</t>
  </si>
  <si>
    <t xml:space="preserve">CMS</t>
  </si>
  <si>
    <t xml:space="preserve">Базовый</t>
  </si>
  <si>
    <t xml:space="preserve">Полный</t>
  </si>
  <si>
    <t xml:space="preserve">Форма → Email/Telegram</t>
  </si>
  <si>
    <t xml:space="preserve">Форма → CRM + GA</t>
  </si>
  <si>
    <t xml:space="preserve">Платёжка + CRM + доставка</t>
  </si>
  <si>
    <t xml:space="preserve">Базовая SEO</t>
  </si>
  <si>
    <t xml:space="preserve">Включена</t>
  </si>
  <si>
    <t xml:space="preserve">Sitemap, meta, schema, Core Web Vitals</t>
  </si>
  <si>
    <t xml:space="preserve">Раундов правок</t>
  </si>
  <si>
    <t xml:space="preserve">Дальше — $50-100/раунд</t>
  </si>
  <si>
    <t xml:space="preserve">Гарантия после сдачи</t>
  </si>
  <si>
    <t xml:space="preserve">Только баги/фиксы</t>
  </si>
  <si>
    <t xml:space="preserve">SEO BASE</t>
  </si>
  <si>
    <t xml:space="preserve">SEO GROWTH (по запросу)</t>
  </si>
  <si>
    <t xml:space="preserve">Цена</t>
  </si>
  <si>
    <t xml:space="preserve">$500/мес</t>
  </si>
  <si>
    <t xml:space="preserve">Growth = от $500/мес</t>
  </si>
  <si>
    <t xml:space="preserve">Тех. аудит + on-page</t>
  </si>
  <si>
    <t xml:space="preserve">Контент + линкбилдинг + отчёты</t>
  </si>
  <si>
    <t xml:space="preserve">5-7 дней</t>
  </si>
  <si>
    <t xml:space="preserve">Минимум 6 мес</t>
  </si>
  <si>
    <t xml:space="preserve">Когда продавать</t>
  </si>
  <si>
    <t xml:space="preserve">Сразу</t>
  </si>
  <si>
    <t xml:space="preserve">После 2-3 успешных кейсов</t>
  </si>
  <si>
    <t xml:space="preserve">70× МАШИНА РОСТА — FLAGSHIP COMBO</t>
  </si>
  <si>
    <t xml:space="preserve">Комплексный продукт. Дополнительная скидка 5% сверх стандартной combo-скидки. Гарантия 50% возврата setup.</t>
  </si>
  <si>
    <t xml:space="preserve">ЗАМЕТКИ</t>
  </si>
  <si>
    <t xml:space="preserve">Со скидкой -20-25%</t>
  </si>
  <si>
    <t xml:space="preserve">1 setup + N retainer</t>
  </si>
  <si>
    <t xml:space="preserve">Сайт</t>
  </si>
  <si>
    <t xml:space="preserve">Landing включён</t>
  </si>
  <si>
    <t xml:space="preserve">Business +$1,100 (опц.)</t>
  </si>
  <si>
    <t xml:space="preserve">E-com +$2,300 (опц.)</t>
  </si>
  <si>
    <t xml:space="preserve">Скидка -25% от standalone</t>
  </si>
  <si>
    <t xml:space="preserve">Таргет</t>
  </si>
  <si>
    <t xml:space="preserve">Growth</t>
  </si>
  <si>
    <t xml:space="preserve">AI-Бот</t>
  </si>
  <si>
    <t xml:space="preserve">Lead Flow Auto</t>
  </si>
  <si>
    <t xml:space="preserve">Standard</t>
  </si>
  <si>
    <t xml:space="preserve">Гарантия</t>
  </si>
  <si>
    <t xml:space="preserve">50% возврат setup если не запустили за 90 дней</t>
  </si>
  <si>
    <t xml:space="preserve">При выполнении ТЗ клиентом</t>
  </si>
  <si>
    <t xml:space="preserve">Кому подходит</t>
  </si>
  <si>
    <t xml:space="preserve">Стартап / новый продукт / локальный бизнес</t>
  </si>
  <si>
    <t xml:space="preserve">Действующий бизнес с продажами</t>
  </si>
  <si>
    <t xml:space="preserve">Зрелый бизнес, готов к масштабу</t>
  </si>
  <si>
    <t xml:space="preserve">РАСЧЁТ ВЫРУЧКИ ЗА МИНИМАЛЬНЫЙ КОНТРАКТ</t>
  </si>
  <si>
    <t xml:space="preserve">Параметр</t>
  </si>
  <si>
    <t xml:space="preserve">LAUNCH (4 мес)</t>
  </si>
  <si>
    <t xml:space="preserve">GROWTH (4 мес)</t>
  </si>
  <si>
    <t xml:space="preserve">SCALE (6 мес)</t>
  </si>
  <si>
    <t xml:space="preserve">Retainer/мес</t>
  </si>
  <si>
    <t xml:space="preserve">Месяцев retainer</t>
  </si>
  <si>
    <t xml:space="preserve">Ad budget клиента/мес</t>
  </si>
  <si>
    <t xml:space="preserve">Комиссия с ad budget/мес</t>
  </si>
  <si>
    <t xml:space="preserve">Retainer + комиссия за весь срок</t>
  </si>
  <si>
    <t xml:space="preserve">ИТОГО ВЫРУЧКА</t>
  </si>
  <si>
    <t xml:space="preserve">ДОПОЛНИТЕЛЬНЫЕ УСЛУГИ (ADD-ONS)</t>
  </si>
  <si>
    <t xml:space="preserve">Add-ons продаются к основным услугам или standalone. Часто продаются на 2-3 месяце работы.</t>
  </si>
  <si>
    <t xml:space="preserve">КАТЕГОРИЯ</t>
  </si>
  <si>
    <t xml:space="preserve">ЦЕНА</t>
  </si>
  <si>
    <t xml:space="preserve">Профессиональная фотосъёмка под кампанию</t>
  </si>
  <si>
    <t xml:space="preserve">от $500</t>
  </si>
  <si>
    <t xml:space="preserve">Через подрядчика</t>
  </si>
  <si>
    <t xml:space="preserve">Видеосъёмка + монтаж рекламного ролика</t>
  </si>
  <si>
    <t xml:space="preserve">от $800</t>
  </si>
  <si>
    <t xml:space="preserve">Доп. креатив сверх пакета (статика)</t>
  </si>
  <si>
    <t xml:space="preserve">$80/шт</t>
  </si>
  <si>
    <t xml:space="preserve">Доп. креатив сверх пакета (motion)</t>
  </si>
  <si>
    <t xml:space="preserve">$200/шт</t>
  </si>
  <si>
    <t xml:space="preserve">Landing page под кампанию</t>
  </si>
  <si>
    <t xml:space="preserve">от $1,200</t>
  </si>
  <si>
    <t xml:space="preserve">Со скидкой если в combo</t>
  </si>
  <si>
    <t xml:space="preserve">Подключение и настройка GA4 / Meta Pixel / GTM</t>
  </si>
  <si>
    <t xml:space="preserve">$300</t>
  </si>
  <si>
    <t xml:space="preserve">Если переустанавливаем для существующих</t>
  </si>
  <si>
    <t xml:space="preserve">AI-компонент (GPT для классификации/ответов)</t>
  </si>
  <si>
    <t xml:space="preserve">от $300</t>
  </si>
  <si>
    <t xml:space="preserve">Интеграция с CRM (HubSpot/Pipedrive/AmoCRM)</t>
  </si>
  <si>
    <t xml:space="preserve">$200-400</t>
  </si>
  <si>
    <t xml:space="preserve">Auto-invoice (счета автоматом)</t>
  </si>
  <si>
    <t xml:space="preserve">Dashboard в Google Sheets / Looker Studio</t>
  </si>
  <si>
    <t xml:space="preserve">$400-800</t>
  </si>
  <si>
    <t xml:space="preserve">Управление подпиской через наш аккаунт</t>
  </si>
  <si>
    <t xml:space="preserve">подписка + 25%</t>
  </si>
  <si>
    <t xml:space="preserve">Только если клиент сам не хочет</t>
  </si>
  <si>
    <t xml:space="preserve">WhatsApp Business API подключение</t>
  </si>
  <si>
    <t xml:space="preserve">от $700</t>
  </si>
  <si>
    <t xml:space="preserve">Цена после оценки готовности клиента</t>
  </si>
  <si>
    <t xml:space="preserve">WA — поддержка верификации</t>
  </si>
  <si>
    <t xml:space="preserve">~$30/мес</t>
  </si>
  <si>
    <t xml:space="preserve">Интеграция с дополнительной CRM</t>
  </si>
  <si>
    <t xml:space="preserve">Кастомные интеграции через API</t>
  </si>
  <si>
    <t xml:space="preserve">Voice mode (бот понимает голосовые)</t>
  </si>
  <si>
    <t xml:space="preserve">$300 + токены</t>
  </si>
  <si>
    <t xml:space="preserve">Генерация изображений в боте</t>
  </si>
  <si>
    <t xml:space="preserve">$250</t>
  </si>
  <si>
    <t xml:space="preserve">Аналитика диалогов / dashboard</t>
  </si>
  <si>
    <t xml:space="preserve">от $400</t>
  </si>
  <si>
    <t xml:space="preserve">Проактивные сообщения</t>
  </si>
  <si>
    <t xml:space="preserve">Дополнительный язык</t>
  </si>
  <si>
    <t xml:space="preserve">+$50/язык</t>
  </si>
  <si>
    <t xml:space="preserve">Профессиональная фотосъёмка</t>
  </si>
  <si>
    <t xml:space="preserve">Продвинутая анимация / интерактив</t>
  </si>
  <si>
    <t xml:space="preserve">от $350</t>
  </si>
  <si>
    <t xml:space="preserve">Интеграция с дополнительной системой</t>
  </si>
  <si>
    <t xml:space="preserve">от $250</t>
  </si>
  <si>
    <t xml:space="preserve">Multi-currency / multi-region для e-com</t>
  </si>
  <si>
    <t xml:space="preserve">Maintenance retainer (обычные сайты)</t>
  </si>
  <si>
    <t xml:space="preserve">$130/мес</t>
  </si>
  <si>
    <t xml:space="preserve">Maintenance retainer (e-com)</t>
  </si>
  <si>
    <t xml:space="preserve">$250/мес</t>
  </si>
  <si>
    <t xml:space="preserve">КАЛЬКУЛЯТОР СТОИМОСТИ ПРОЕКТА</t>
  </si>
  <si>
    <t xml:space="preserve">Заполни жёлтые ячейки → формула посчитает итог. Используй для брифа клиенту.</t>
  </si>
  <si>
    <t xml:space="preserve">ВВОДНЫЕ ДАННЫЕ</t>
  </si>
  <si>
    <t xml:space="preserve">Setup услуги ($)</t>
  </si>
  <si>
    <t xml:space="preserve">Monthly retainer ($)</t>
  </si>
  <si>
    <t xml:space="preserve">Ad budget клиента/мес ($)</t>
  </si>
  <si>
    <t xml:space="preserve">Срок контракта (мес)</t>
  </si>
  <si>
    <t xml:space="preserve">Add-ons (сумма всех доп. услуг, $)</t>
  </si>
  <si>
    <t xml:space="preserve">РАСЧЁТ</t>
  </si>
  <si>
    <t xml:space="preserve">Платёж 1-го месяца (Setup + Retainer + Комиссия + Add-ons)</t>
  </si>
  <si>
    <t xml:space="preserve">Платёж со 2-го месяца (Retainer + Комиссия)</t>
  </si>
  <si>
    <t xml:space="preserve">ИТОГО за весь контракт</t>
  </si>
  <si>
    <t xml:space="preserve">💡 Подсказка: чтобы посчитать стоимость 70× combo — используй данные из листа "70× Машина роста".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</si>
</sst>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1A"/>
        <bgColor rgb="FF2D2D2D"/>
      </patternFill>
    </fill>
    <fill>
      <patternFill patternType="solid">
        <fgColor rgb="FFF0F0F0"/>
        <bgColor rgb="FFE3F2FD"/>
      </patternFill>
    </fill>
    <fill>
      <patternFill patternType="solid">
        <fgColor rgb="FFD4EDDA"/>
        <bgColor rgb="FFE3F2FD"/>
      </patternFill>
    </fill>
    <fill>
      <patternFill patternType="solid">
        <fgColor rgb="FFFFF3B0"/>
        <bgColor rgb="FFF0F0F0"/>
      </patternFill>
    </fill>
    <fill>
      <patternFill patternType="solid">
        <fgColor rgb="FF2D2D2D"/>
        <bgColor rgb="FF1A1A1A"/>
      </patternFill>
    </fill>
    <fill>
      <patternFill patternType="solid">
        <fgColor rgb="FFE3F2FD"/>
        <bgColor rgb="FFF0F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F0F0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4" min="3" style="0" width="15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6" t="n">
        <v>700</v>
      </c>
      <c r="D5" s="6" t="n">
        <v>500</v>
      </c>
      <c r="E5" s="7" t="s">
        <v>10</v>
      </c>
      <c r="F5" s="8" t="s">
        <v>11</v>
      </c>
    </row>
    <row r="6" customFormat="false" ht="15" hidden="false" customHeight="false" outlineLevel="0" collapsed="false">
      <c r="A6" s="4"/>
      <c r="B6" s="5" t="s">
        <v>12</v>
      </c>
      <c r="C6" s="6" t="n">
        <v>1200</v>
      </c>
      <c r="D6" s="6" t="n">
        <v>900</v>
      </c>
      <c r="E6" s="7" t="s">
        <v>10</v>
      </c>
      <c r="F6" s="8" t="s">
        <v>13</v>
      </c>
    </row>
    <row r="7" customFormat="false" ht="15" hidden="false" customHeight="false" outlineLevel="0" collapsed="false">
      <c r="A7" s="4"/>
      <c r="B7" s="5" t="s">
        <v>14</v>
      </c>
      <c r="C7" s="6" t="n">
        <v>2000</v>
      </c>
      <c r="D7" s="6" t="n">
        <v>1600</v>
      </c>
      <c r="E7" s="7" t="s">
        <v>15</v>
      </c>
      <c r="F7" s="8" t="s">
        <v>16</v>
      </c>
    </row>
    <row r="8" customFormat="false" ht="15" hidden="false" customHeight="false" outlineLevel="0" collapsed="false">
      <c r="A8" s="4" t="s">
        <v>17</v>
      </c>
      <c r="B8" s="5" t="s">
        <v>18</v>
      </c>
      <c r="C8" s="6" t="n">
        <v>400</v>
      </c>
      <c r="D8" s="6" t="n">
        <v>80</v>
      </c>
      <c r="E8" s="7" t="s">
        <v>19</v>
      </c>
      <c r="F8" s="8" t="s">
        <v>20</v>
      </c>
    </row>
    <row r="9" customFormat="false" ht="15" hidden="false" customHeight="false" outlineLevel="0" collapsed="false">
      <c r="A9" s="4"/>
      <c r="B9" s="5" t="s">
        <v>21</v>
      </c>
      <c r="C9" s="6" t="n">
        <v>1000</v>
      </c>
      <c r="D9" s="6" t="n">
        <v>180</v>
      </c>
      <c r="E9" s="7" t="s">
        <v>19</v>
      </c>
      <c r="F9" s="8" t="s">
        <v>22</v>
      </c>
    </row>
    <row r="10" customFormat="false" ht="15" hidden="false" customHeight="false" outlineLevel="0" collapsed="false">
      <c r="A10" s="4"/>
      <c r="B10" s="5" t="s">
        <v>23</v>
      </c>
      <c r="C10" s="6" t="n">
        <v>2500</v>
      </c>
      <c r="D10" s="6" t="n">
        <v>400</v>
      </c>
      <c r="E10" s="7" t="s">
        <v>19</v>
      </c>
      <c r="F10" s="8" t="s">
        <v>24</v>
      </c>
    </row>
    <row r="11" customFormat="false" ht="15" hidden="false" customHeight="false" outlineLevel="0" collapsed="false">
      <c r="A11" s="4" t="s">
        <v>25</v>
      </c>
      <c r="B11" s="5" t="s">
        <v>9</v>
      </c>
      <c r="C11" s="6" t="n">
        <v>800</v>
      </c>
      <c r="D11" s="6" t="n">
        <v>180</v>
      </c>
      <c r="E11" s="7" t="s">
        <v>10</v>
      </c>
      <c r="F11" s="8" t="s">
        <v>26</v>
      </c>
    </row>
    <row r="12" customFormat="false" ht="15" hidden="false" customHeight="false" outlineLevel="0" collapsed="false">
      <c r="A12" s="4"/>
      <c r="B12" s="5" t="s">
        <v>12</v>
      </c>
      <c r="C12" s="6" t="n">
        <v>1900</v>
      </c>
      <c r="D12" s="6" t="n">
        <v>380</v>
      </c>
      <c r="E12" s="7" t="s">
        <v>10</v>
      </c>
      <c r="F12" s="8" t="s">
        <v>27</v>
      </c>
    </row>
    <row r="13" customFormat="false" ht="15" hidden="false" customHeight="false" outlineLevel="0" collapsed="false">
      <c r="A13" s="4"/>
      <c r="B13" s="5" t="s">
        <v>23</v>
      </c>
      <c r="C13" s="6" t="n">
        <v>3800</v>
      </c>
      <c r="D13" s="6" t="n">
        <v>700</v>
      </c>
      <c r="E13" s="7" t="s">
        <v>15</v>
      </c>
      <c r="F13" s="8" t="s">
        <v>28</v>
      </c>
    </row>
    <row r="14" customFormat="false" ht="15" hidden="false" customHeight="false" outlineLevel="0" collapsed="false">
      <c r="A14" s="4" t="s">
        <v>29</v>
      </c>
      <c r="B14" s="5" t="s">
        <v>30</v>
      </c>
      <c r="C14" s="6" t="n">
        <v>1100</v>
      </c>
      <c r="D14" s="6" t="n">
        <v>150</v>
      </c>
      <c r="E14" s="7" t="s">
        <v>19</v>
      </c>
      <c r="F14" s="8" t="s">
        <v>31</v>
      </c>
    </row>
    <row r="15" customFormat="false" ht="15" hidden="false" customHeight="false" outlineLevel="0" collapsed="false">
      <c r="A15" s="4"/>
      <c r="B15" s="5" t="s">
        <v>32</v>
      </c>
      <c r="C15" s="6" t="n">
        <v>2500</v>
      </c>
      <c r="D15" s="6" t="n">
        <v>300</v>
      </c>
      <c r="E15" s="7" t="s">
        <v>19</v>
      </c>
      <c r="F15" s="8" t="s">
        <v>33</v>
      </c>
    </row>
    <row r="16" customFormat="false" ht="15" hidden="false" customHeight="false" outlineLevel="0" collapsed="false">
      <c r="A16" s="4" t="s">
        <v>34</v>
      </c>
      <c r="B16" s="5" t="s">
        <v>35</v>
      </c>
      <c r="C16" s="6" t="n">
        <v>600</v>
      </c>
      <c r="D16" s="6"/>
      <c r="E16" s="7" t="s">
        <v>19</v>
      </c>
      <c r="F16" s="8" t="s">
        <v>36</v>
      </c>
    </row>
    <row r="17" customFormat="false" ht="15" hidden="false" customHeight="false" outlineLevel="0" collapsed="false">
      <c r="A17" s="4"/>
      <c r="B17" s="5" t="s">
        <v>37</v>
      </c>
      <c r="C17" s="6" t="n">
        <v>1500</v>
      </c>
      <c r="D17" s="6"/>
      <c r="E17" s="7" t="s">
        <v>19</v>
      </c>
      <c r="F17" s="8" t="s">
        <v>38</v>
      </c>
    </row>
    <row r="18" customFormat="false" ht="15" hidden="false" customHeight="false" outlineLevel="0" collapsed="false">
      <c r="A18" s="4"/>
      <c r="B18" s="5" t="s">
        <v>39</v>
      </c>
      <c r="C18" s="6" t="n">
        <v>3000</v>
      </c>
      <c r="D18" s="6"/>
      <c r="E18" s="7" t="s">
        <v>19</v>
      </c>
      <c r="F18" s="8" t="s">
        <v>40</v>
      </c>
    </row>
    <row r="19" customFormat="false" ht="15" hidden="false" customHeight="false" outlineLevel="0" collapsed="false">
      <c r="A19" s="4" t="s">
        <v>41</v>
      </c>
      <c r="B19" s="5" t="s">
        <v>42</v>
      </c>
      <c r="C19" s="6" t="n">
        <v>340</v>
      </c>
      <c r="D19" s="6"/>
      <c r="E19" s="7" t="s">
        <v>19</v>
      </c>
      <c r="F19" s="8" t="s">
        <v>43</v>
      </c>
    </row>
    <row r="20" customFormat="false" ht="15" hidden="false" customHeight="false" outlineLevel="0" collapsed="false">
      <c r="A20" s="4"/>
      <c r="B20" s="5" t="s">
        <v>44</v>
      </c>
      <c r="C20" s="6"/>
      <c r="D20" s="6" t="n">
        <v>500</v>
      </c>
      <c r="E20" s="7" t="s">
        <v>15</v>
      </c>
      <c r="F20" s="8" t="s">
        <v>45</v>
      </c>
    </row>
    <row r="22" customFormat="false" ht="30" hidden="false" customHeight="true" outlineLevel="0" collapsed="false">
      <c r="A22" s="1" t="s">
        <v>46</v>
      </c>
      <c r="B22" s="1"/>
      <c r="C22" s="1"/>
      <c r="D22" s="1"/>
      <c r="E22" s="1"/>
      <c r="F22" s="1"/>
    </row>
    <row r="24" customFormat="false" ht="26.85" hidden="false" customHeight="false" outlineLevel="0" collapsed="false">
      <c r="A24" s="9" t="s">
        <v>3</v>
      </c>
      <c r="B24" s="9" t="s">
        <v>47</v>
      </c>
      <c r="C24" s="9" t="s">
        <v>48</v>
      </c>
      <c r="D24" s="9" t="s">
        <v>49</v>
      </c>
      <c r="E24" s="9" t="s">
        <v>6</v>
      </c>
      <c r="F24" s="9" t="s">
        <v>50</v>
      </c>
    </row>
    <row r="25" customFormat="false" ht="15" hidden="false" customHeight="false" outlineLevel="0" collapsed="false">
      <c r="A25" s="10" t="s">
        <v>51</v>
      </c>
      <c r="B25" s="6" t="n">
        <v>2000</v>
      </c>
      <c r="C25" s="6" t="n">
        <v>620</v>
      </c>
      <c r="D25" s="7" t="s">
        <v>52</v>
      </c>
      <c r="E25" s="7" t="s">
        <v>53</v>
      </c>
      <c r="F25" s="8" t="s">
        <v>54</v>
      </c>
    </row>
    <row r="26" customFormat="false" ht="15" hidden="false" customHeight="false" outlineLevel="0" collapsed="false">
      <c r="A26" s="11" t="s">
        <v>55</v>
      </c>
      <c r="B26" s="12" t="n">
        <v>3200</v>
      </c>
      <c r="C26" s="12" t="n">
        <v>1150</v>
      </c>
      <c r="D26" s="13" t="s">
        <v>52</v>
      </c>
      <c r="E26" s="13" t="s">
        <v>53</v>
      </c>
      <c r="F26" s="14" t="s">
        <v>56</v>
      </c>
    </row>
    <row r="27" customFormat="false" ht="15" hidden="false" customHeight="false" outlineLevel="0" collapsed="false">
      <c r="A27" s="10" t="s">
        <v>57</v>
      </c>
      <c r="B27" s="6" t="n">
        <v>6300</v>
      </c>
      <c r="C27" s="6" t="n">
        <v>2100</v>
      </c>
      <c r="D27" s="7" t="s">
        <v>58</v>
      </c>
      <c r="E27" s="7" t="s">
        <v>15</v>
      </c>
      <c r="F27" s="8" t="s">
        <v>59</v>
      </c>
    </row>
    <row r="30" customFormat="false" ht="15" hidden="false" customHeight="false" outlineLevel="0" collapsed="false">
      <c r="A30" s="15" t="s">
        <v>60</v>
      </c>
    </row>
    <row r="31" customFormat="false" ht="15" hidden="false" customHeight="false" outlineLevel="0" collapsed="false">
      <c r="A31" s="16" t="s">
        <v>61</v>
      </c>
      <c r="B31" s="17" t="s">
        <v>62</v>
      </c>
      <c r="C31" s="17"/>
      <c r="D31" s="17"/>
      <c r="E31" s="17"/>
      <c r="F31" s="17"/>
    </row>
    <row r="32" customFormat="false" ht="15" hidden="false" customHeight="false" outlineLevel="0" collapsed="false">
      <c r="A32" s="18" t="s">
        <v>63</v>
      </c>
      <c r="B32" s="17" t="s">
        <v>64</v>
      </c>
      <c r="C32" s="17"/>
      <c r="D32" s="17"/>
      <c r="E32" s="17"/>
      <c r="F32" s="17"/>
    </row>
    <row r="33" customFormat="false" ht="15" hidden="false" customHeight="false" outlineLevel="0" collapsed="false">
      <c r="A33" s="19" t="s">
        <v>65</v>
      </c>
      <c r="B33" s="17" t="s">
        <v>66</v>
      </c>
      <c r="C33" s="17"/>
      <c r="D33" s="17"/>
      <c r="E33" s="17"/>
      <c r="F33" s="17"/>
    </row>
  </sheetData>
  <mergeCells count="6">
    <mergeCell ref="A1:F1"/>
    <mergeCell ref="A2:F2"/>
    <mergeCell ref="A22:F22"/>
    <mergeCell ref="B31:F31"/>
    <mergeCell ref="B32:F32"/>
    <mergeCell ref="B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2"/>
    <col collapsed="false" customWidth="true" hidden="false" outlineLevel="0" max="5" min="5" style="0" width="35"/>
  </cols>
  <sheetData>
    <row r="1" customFormat="false" ht="30" hidden="false" customHeight="true" outlineLevel="0" collapsed="false">
      <c r="A1" s="1" t="s">
        <v>67</v>
      </c>
      <c r="B1" s="1"/>
      <c r="C1" s="1"/>
      <c r="D1" s="1"/>
      <c r="E1" s="1"/>
    </row>
    <row r="2" customFormat="false" ht="15" hidden="false" customHeight="true" outlineLevel="0" collapsed="false">
      <c r="A2" s="2" t="s">
        <v>68</v>
      </c>
      <c r="B2" s="2"/>
      <c r="C2" s="2"/>
      <c r="D2" s="2"/>
      <c r="E2" s="2"/>
    </row>
    <row r="4" customFormat="false" ht="27.75" hidden="false" customHeight="true" outlineLevel="0" collapsed="false">
      <c r="A4" s="3" t="s">
        <v>69</v>
      </c>
      <c r="B4" s="3" t="s">
        <v>70</v>
      </c>
      <c r="C4" s="3" t="s">
        <v>55</v>
      </c>
      <c r="D4" s="3" t="s">
        <v>57</v>
      </c>
      <c r="E4" s="3" t="s">
        <v>71</v>
      </c>
    </row>
    <row r="5" customFormat="false" ht="15" hidden="false" customHeight="false" outlineLevel="0" collapsed="false">
      <c r="A5" s="20" t="s">
        <v>72</v>
      </c>
      <c r="B5" s="6" t="n">
        <v>700</v>
      </c>
      <c r="C5" s="12" t="n">
        <v>1200</v>
      </c>
      <c r="D5" s="6" t="n">
        <v>2000</v>
      </c>
      <c r="E5" s="21" t="s">
        <v>73</v>
      </c>
    </row>
    <row r="6" customFormat="false" ht="15" hidden="false" customHeight="false" outlineLevel="0" collapsed="false">
      <c r="A6" s="20" t="s">
        <v>74</v>
      </c>
      <c r="B6" s="6" t="n">
        <v>500</v>
      </c>
      <c r="C6" s="12" t="n">
        <v>900</v>
      </c>
      <c r="D6" s="6" t="n">
        <v>1600</v>
      </c>
      <c r="E6" s="21" t="s">
        <v>75</v>
      </c>
    </row>
    <row r="7" customFormat="false" ht="15" hidden="false" customHeight="false" outlineLevel="0" collapsed="false">
      <c r="A7" s="20" t="s">
        <v>76</v>
      </c>
      <c r="B7" s="7" t="s">
        <v>52</v>
      </c>
      <c r="C7" s="7" t="s">
        <v>52</v>
      </c>
      <c r="D7" s="7" t="s">
        <v>58</v>
      </c>
      <c r="E7" s="21" t="s">
        <v>77</v>
      </c>
    </row>
    <row r="8" customFormat="false" ht="15" hidden="false" customHeight="false" outlineLevel="0" collapsed="false">
      <c r="A8" s="20" t="s">
        <v>78</v>
      </c>
      <c r="B8" s="6" t="n">
        <v>500</v>
      </c>
      <c r="C8" s="6" t="n">
        <v>2000</v>
      </c>
      <c r="D8" s="6" t="n">
        <v>5000</v>
      </c>
      <c r="E8" s="21" t="s">
        <v>79</v>
      </c>
    </row>
    <row r="9" customFormat="false" ht="23.85" hidden="false" customHeight="false" outlineLevel="0" collapsed="false">
      <c r="A9" s="20" t="s">
        <v>80</v>
      </c>
      <c r="B9" s="7" t="s">
        <v>81</v>
      </c>
      <c r="C9" s="7" t="s">
        <v>82</v>
      </c>
      <c r="D9" s="7" t="s">
        <v>83</v>
      </c>
      <c r="E9" s="21"/>
    </row>
    <row r="10" customFormat="false" ht="15" hidden="false" customHeight="false" outlineLevel="0" collapsed="false">
      <c r="A10" s="20" t="s">
        <v>84</v>
      </c>
      <c r="B10" s="7" t="s">
        <v>85</v>
      </c>
      <c r="C10" s="7" t="s">
        <v>86</v>
      </c>
      <c r="D10" s="7" t="s">
        <v>87</v>
      </c>
      <c r="E10" s="21" t="s">
        <v>88</v>
      </c>
    </row>
    <row r="11" customFormat="false" ht="15" hidden="false" customHeight="false" outlineLevel="0" collapsed="false">
      <c r="A11" s="20" t="s">
        <v>89</v>
      </c>
      <c r="B11" s="7" t="s">
        <v>90</v>
      </c>
      <c r="C11" s="7" t="s">
        <v>91</v>
      </c>
      <c r="D11" s="7" t="s">
        <v>92</v>
      </c>
      <c r="E11" s="21"/>
    </row>
    <row r="12" customFormat="false" ht="15" hidden="false" customHeight="false" outlineLevel="0" collapsed="false">
      <c r="A12" s="20" t="s">
        <v>93</v>
      </c>
      <c r="B12" s="7" t="s">
        <v>19</v>
      </c>
      <c r="C12" s="7" t="s">
        <v>94</v>
      </c>
      <c r="D12" s="7" t="s">
        <v>95</v>
      </c>
      <c r="E12" s="21"/>
    </row>
    <row r="13" customFormat="false" ht="23.85" hidden="false" customHeight="false" outlineLevel="0" collapsed="false">
      <c r="A13" s="20" t="s">
        <v>96</v>
      </c>
      <c r="B13" s="7" t="s">
        <v>97</v>
      </c>
      <c r="C13" s="7" t="s">
        <v>98</v>
      </c>
      <c r="D13" s="7" t="s">
        <v>99</v>
      </c>
      <c r="E13" s="21"/>
    </row>
    <row r="14" customFormat="false" ht="15" hidden="false" customHeight="false" outlineLevel="0" collapsed="false">
      <c r="A14" s="20" t="s">
        <v>100</v>
      </c>
      <c r="B14" s="7" t="s">
        <v>10</v>
      </c>
      <c r="C14" s="7" t="s">
        <v>10</v>
      </c>
      <c r="D14" s="7" t="s">
        <v>15</v>
      </c>
      <c r="E14" s="21" t="s">
        <v>101</v>
      </c>
    </row>
    <row r="17" customFormat="false" ht="24" hidden="false" customHeight="true" outlineLevel="0" collapsed="false">
      <c r="A17" s="22" t="s">
        <v>102</v>
      </c>
      <c r="B17" s="22"/>
      <c r="C17" s="22"/>
      <c r="D17" s="22"/>
      <c r="E17" s="22"/>
    </row>
    <row r="19" customFormat="false" ht="15" hidden="false" customHeight="false" outlineLevel="0" collapsed="false">
      <c r="A19" s="5" t="s">
        <v>103</v>
      </c>
      <c r="B19" s="6" t="n">
        <v>1200</v>
      </c>
    </row>
    <row r="20" customFormat="false" ht="15" hidden="false" customHeight="false" outlineLevel="0" collapsed="false">
      <c r="A20" s="5" t="s">
        <v>74</v>
      </c>
      <c r="B20" s="6" t="n">
        <v>900</v>
      </c>
    </row>
    <row r="21" customFormat="false" ht="15" hidden="false" customHeight="false" outlineLevel="0" collapsed="false">
      <c r="A21" s="5" t="s">
        <v>104</v>
      </c>
      <c r="B21" s="6" t="n">
        <v>3000</v>
      </c>
    </row>
    <row r="22" customFormat="false" ht="15" hidden="false" customHeight="false" outlineLevel="0" collapsed="false">
      <c r="A22" s="5" t="s">
        <v>76</v>
      </c>
      <c r="B22" s="23" t="n">
        <v>0.15</v>
      </c>
    </row>
    <row r="23" customFormat="false" ht="15" hidden="false" customHeight="false" outlineLevel="0" collapsed="false">
      <c r="A23" s="5" t="s">
        <v>105</v>
      </c>
      <c r="B23" s="24" t="n">
        <f aca="false">B21*B22</f>
        <v>450</v>
      </c>
    </row>
    <row r="24" customFormat="false" ht="15" hidden="false" customHeight="false" outlineLevel="0" collapsed="false">
      <c r="A24" s="10" t="s">
        <v>106</v>
      </c>
      <c r="B24" s="25" t="n">
        <f aca="false">B19+B20+B23</f>
        <v>2550</v>
      </c>
    </row>
    <row r="25" customFormat="false" ht="15" hidden="false" customHeight="false" outlineLevel="0" collapsed="false">
      <c r="A25" s="10" t="s">
        <v>107</v>
      </c>
      <c r="B25" s="25" t="n">
        <f aca="false">B20+B23</f>
        <v>1350</v>
      </c>
    </row>
    <row r="26" customFormat="false" ht="15" hidden="false" customHeight="false" outlineLevel="0" collapsed="false">
      <c r="A26" s="10" t="s">
        <v>108</v>
      </c>
      <c r="B26" s="26" t="n">
        <f aca="false">B24+B25*2</f>
        <v>5250</v>
      </c>
    </row>
  </sheetData>
  <mergeCells count="3">
    <mergeCell ref="A1:E1"/>
    <mergeCell ref="A2:E2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4" min="3" style="0" width="28"/>
    <col collapsed="false" customWidth="true" hidden="false" outlineLevel="0" max="5" min="5" style="0" width="30"/>
  </cols>
  <sheetData>
    <row r="1" customFormat="false" ht="30" hidden="false" customHeight="true" outlineLevel="0" collapsed="false">
      <c r="A1" s="1" t="s">
        <v>109</v>
      </c>
      <c r="B1" s="1"/>
      <c r="C1" s="1"/>
      <c r="D1" s="1"/>
      <c r="E1" s="1"/>
    </row>
    <row r="2" customFormat="false" ht="15" hidden="false" customHeight="true" outlineLevel="0" collapsed="false">
      <c r="A2" s="2" t="s">
        <v>110</v>
      </c>
      <c r="B2" s="2"/>
      <c r="C2" s="2"/>
      <c r="D2" s="2"/>
      <c r="E2" s="2"/>
    </row>
    <row r="4" customFormat="false" ht="27.75" hidden="false" customHeight="true" outlineLevel="0" collapsed="false">
      <c r="A4" s="3" t="s">
        <v>69</v>
      </c>
      <c r="B4" s="3" t="s">
        <v>111</v>
      </c>
      <c r="C4" s="3" t="s">
        <v>112</v>
      </c>
      <c r="D4" s="3" t="s">
        <v>113</v>
      </c>
      <c r="E4" s="3" t="s">
        <v>71</v>
      </c>
    </row>
    <row r="5" customFormat="false" ht="15" hidden="false" customHeight="false" outlineLevel="0" collapsed="false">
      <c r="A5" s="20" t="s">
        <v>72</v>
      </c>
      <c r="B5" s="6" t="n">
        <v>400</v>
      </c>
      <c r="C5" s="12" t="n">
        <v>1000</v>
      </c>
      <c r="D5" s="6" t="n">
        <v>2500</v>
      </c>
      <c r="E5" s="21" t="s">
        <v>114</v>
      </c>
    </row>
    <row r="6" customFormat="false" ht="15" hidden="false" customHeight="false" outlineLevel="0" collapsed="false">
      <c r="A6" s="20" t="s">
        <v>115</v>
      </c>
      <c r="B6" s="6" t="n">
        <v>80</v>
      </c>
      <c r="C6" s="12" t="n">
        <v>180</v>
      </c>
      <c r="D6" s="6" t="n">
        <v>400</v>
      </c>
      <c r="E6" s="21" t="s">
        <v>116</v>
      </c>
    </row>
    <row r="7" customFormat="false" ht="23.85" hidden="false" customHeight="false" outlineLevel="0" collapsed="false">
      <c r="A7" s="20" t="s">
        <v>117</v>
      </c>
      <c r="B7" s="7" t="s">
        <v>118</v>
      </c>
      <c r="C7" s="7" t="s">
        <v>119</v>
      </c>
      <c r="D7" s="7" t="s">
        <v>120</v>
      </c>
      <c r="E7" s="21"/>
    </row>
    <row r="8" customFormat="false" ht="23.85" hidden="false" customHeight="false" outlineLevel="0" collapsed="false">
      <c r="A8" s="20" t="s">
        <v>121</v>
      </c>
      <c r="B8" s="7" t="s">
        <v>122</v>
      </c>
      <c r="C8" s="7" t="s">
        <v>123</v>
      </c>
      <c r="D8" s="7" t="s">
        <v>124</v>
      </c>
      <c r="E8" s="21"/>
    </row>
    <row r="9" customFormat="false" ht="15" hidden="false" customHeight="false" outlineLevel="0" collapsed="false">
      <c r="A9" s="20" t="s">
        <v>125</v>
      </c>
      <c r="B9" s="7" t="s">
        <v>126</v>
      </c>
      <c r="C9" s="7" t="s">
        <v>127</v>
      </c>
      <c r="D9" s="7" t="s">
        <v>128</v>
      </c>
      <c r="E9" s="21"/>
    </row>
    <row r="10" customFormat="false" ht="15" hidden="false" customHeight="false" outlineLevel="0" collapsed="false">
      <c r="A10" s="20" t="s">
        <v>129</v>
      </c>
      <c r="B10" s="7" t="s">
        <v>130</v>
      </c>
      <c r="C10" s="7" t="s">
        <v>131</v>
      </c>
      <c r="D10" s="7" t="s">
        <v>132</v>
      </c>
      <c r="E10" s="21"/>
    </row>
    <row r="11" customFormat="false" ht="26.85" hidden="false" customHeight="false" outlineLevel="0" collapsed="false">
      <c r="A11" s="20" t="s">
        <v>133</v>
      </c>
      <c r="B11" s="7" t="s">
        <v>134</v>
      </c>
      <c r="C11" s="7" t="s">
        <v>135</v>
      </c>
      <c r="D11" s="7" t="s">
        <v>136</v>
      </c>
      <c r="E11" s="21"/>
    </row>
    <row r="12" customFormat="false" ht="15" hidden="false" customHeight="false" outlineLevel="0" collapsed="false">
      <c r="A12" s="20" t="s">
        <v>137</v>
      </c>
      <c r="B12" s="7" t="s">
        <v>138</v>
      </c>
      <c r="C12" s="7" t="s">
        <v>138</v>
      </c>
      <c r="D12" s="7" t="s">
        <v>138</v>
      </c>
      <c r="E12" s="21" t="s">
        <v>139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32"/>
  </cols>
  <sheetData>
    <row r="1" customFormat="false" ht="30" hidden="false" customHeight="true" outlineLevel="0" collapsed="false">
      <c r="A1" s="1" t="s">
        <v>140</v>
      </c>
      <c r="B1" s="1"/>
      <c r="C1" s="1"/>
      <c r="D1" s="1"/>
      <c r="E1" s="1"/>
    </row>
    <row r="2" customFormat="false" ht="15" hidden="false" customHeight="true" outlineLevel="0" collapsed="false">
      <c r="A2" s="2" t="s">
        <v>141</v>
      </c>
      <c r="B2" s="2"/>
      <c r="C2" s="2"/>
      <c r="D2" s="2"/>
      <c r="E2" s="2"/>
    </row>
    <row r="4" customFormat="false" ht="24" hidden="false" customHeight="true" outlineLevel="0" collapsed="false">
      <c r="A4" s="22" t="s">
        <v>142</v>
      </c>
      <c r="B4" s="22"/>
      <c r="C4" s="22"/>
      <c r="D4" s="22"/>
      <c r="E4" s="22"/>
    </row>
    <row r="5" customFormat="false" ht="27.75" hidden="false" customHeight="true" outlineLevel="0" collapsed="false">
      <c r="A5" s="3" t="s">
        <v>69</v>
      </c>
      <c r="B5" s="3" t="s">
        <v>70</v>
      </c>
      <c r="C5" s="3" t="s">
        <v>55</v>
      </c>
      <c r="D5" s="3" t="s">
        <v>113</v>
      </c>
      <c r="E5" s="3" t="s">
        <v>71</v>
      </c>
    </row>
    <row r="6" customFormat="false" ht="15" hidden="false" customHeight="false" outlineLevel="0" collapsed="false">
      <c r="A6" s="20" t="s">
        <v>72</v>
      </c>
      <c r="B6" s="6" t="n">
        <v>800</v>
      </c>
      <c r="C6" s="12" t="n">
        <v>1900</v>
      </c>
      <c r="D6" s="6" t="n">
        <v>3800</v>
      </c>
      <c r="E6" s="21" t="s">
        <v>143</v>
      </c>
    </row>
    <row r="7" customFormat="false" ht="15" hidden="false" customHeight="false" outlineLevel="0" collapsed="false">
      <c r="A7" s="20" t="s">
        <v>144</v>
      </c>
      <c r="B7" s="6" t="n">
        <v>180</v>
      </c>
      <c r="C7" s="12" t="n">
        <v>380</v>
      </c>
      <c r="D7" s="6" t="n">
        <v>700</v>
      </c>
      <c r="E7" s="21"/>
    </row>
    <row r="8" customFormat="false" ht="15" hidden="false" customHeight="false" outlineLevel="0" collapsed="false">
      <c r="A8" s="20" t="s">
        <v>80</v>
      </c>
      <c r="B8" s="7" t="s">
        <v>145</v>
      </c>
      <c r="C8" s="7" t="s">
        <v>146</v>
      </c>
      <c r="D8" s="7" t="s">
        <v>147</v>
      </c>
      <c r="E8" s="21" t="s">
        <v>148</v>
      </c>
    </row>
    <row r="9" customFormat="false" ht="15" hidden="false" customHeight="false" outlineLevel="0" collapsed="false">
      <c r="A9" s="20" t="s">
        <v>149</v>
      </c>
      <c r="B9" s="7" t="s">
        <v>150</v>
      </c>
      <c r="C9" s="7" t="s">
        <v>151</v>
      </c>
      <c r="D9" s="7" t="s">
        <v>152</v>
      </c>
      <c r="E9" s="21"/>
    </row>
    <row r="10" customFormat="false" ht="15" hidden="false" customHeight="false" outlineLevel="0" collapsed="false">
      <c r="A10" s="20" t="s">
        <v>153</v>
      </c>
      <c r="B10" s="7" t="s">
        <v>154</v>
      </c>
      <c r="C10" s="7" t="s">
        <v>155</v>
      </c>
      <c r="D10" s="7" t="s">
        <v>156</v>
      </c>
      <c r="E10" s="21" t="s">
        <v>157</v>
      </c>
    </row>
    <row r="11" customFormat="false" ht="15" hidden="false" customHeight="false" outlineLevel="0" collapsed="false">
      <c r="A11" s="20" t="s">
        <v>158</v>
      </c>
      <c r="B11" s="7" t="s">
        <v>159</v>
      </c>
      <c r="C11" s="7" t="s">
        <v>160</v>
      </c>
      <c r="D11" s="7" t="s">
        <v>161</v>
      </c>
      <c r="E11" s="21"/>
    </row>
    <row r="12" customFormat="false" ht="15" hidden="false" customHeight="false" outlineLevel="0" collapsed="false">
      <c r="A12" s="20" t="s">
        <v>162</v>
      </c>
      <c r="B12" s="7" t="s">
        <v>163</v>
      </c>
      <c r="C12" s="7" t="s">
        <v>164</v>
      </c>
      <c r="D12" s="7" t="s">
        <v>165</v>
      </c>
      <c r="E12" s="21"/>
    </row>
    <row r="13" customFormat="false" ht="15" hidden="false" customHeight="false" outlineLevel="0" collapsed="false">
      <c r="A13" s="20" t="s">
        <v>166</v>
      </c>
      <c r="B13" s="27" t="n">
        <v>1</v>
      </c>
      <c r="C13" s="7" t="s">
        <v>167</v>
      </c>
      <c r="D13" s="7" t="s">
        <v>168</v>
      </c>
      <c r="E13" s="21"/>
    </row>
    <row r="14" customFormat="false" ht="15" hidden="false" customHeight="false" outlineLevel="0" collapsed="false">
      <c r="A14" s="20" t="s">
        <v>129</v>
      </c>
      <c r="B14" s="7" t="s">
        <v>131</v>
      </c>
      <c r="C14" s="7" t="s">
        <v>132</v>
      </c>
      <c r="D14" s="7" t="s">
        <v>169</v>
      </c>
      <c r="E14" s="21"/>
    </row>
    <row r="15" customFormat="false" ht="26.85" hidden="false" customHeight="false" outlineLevel="0" collapsed="false">
      <c r="A15" s="20" t="s">
        <v>170</v>
      </c>
      <c r="B15" s="7" t="s">
        <v>10</v>
      </c>
      <c r="C15" s="7" t="s">
        <v>10</v>
      </c>
      <c r="D15" s="7" t="s">
        <v>15</v>
      </c>
      <c r="E15" s="21"/>
    </row>
    <row r="17" customFormat="false" ht="24" hidden="false" customHeight="true" outlineLevel="0" collapsed="false">
      <c r="A17" s="22" t="s">
        <v>171</v>
      </c>
      <c r="B17" s="22"/>
      <c r="C17" s="22"/>
      <c r="D17" s="22"/>
      <c r="E17" s="22"/>
    </row>
    <row r="18" customFormat="false" ht="27.75" hidden="false" customHeight="true" outlineLevel="0" collapsed="false">
      <c r="A18" s="3" t="s">
        <v>69</v>
      </c>
      <c r="B18" s="3" t="s">
        <v>172</v>
      </c>
      <c r="C18" s="3" t="s">
        <v>173</v>
      </c>
      <c r="D18" s="3"/>
      <c r="E18" s="3" t="s">
        <v>71</v>
      </c>
    </row>
    <row r="19" customFormat="false" ht="15" hidden="false" customHeight="false" outlineLevel="0" collapsed="false">
      <c r="A19" s="20" t="s">
        <v>174</v>
      </c>
      <c r="B19" s="6" t="n">
        <v>1100</v>
      </c>
      <c r="C19" s="6" t="n">
        <v>2500</v>
      </c>
      <c r="D19" s="5"/>
      <c r="E19" s="21" t="s">
        <v>175</v>
      </c>
    </row>
    <row r="20" customFormat="false" ht="15" hidden="false" customHeight="false" outlineLevel="0" collapsed="false">
      <c r="A20" s="20" t="s">
        <v>144</v>
      </c>
      <c r="B20" s="6" t="n">
        <v>150</v>
      </c>
      <c r="C20" s="6" t="n">
        <v>300</v>
      </c>
      <c r="D20" s="5"/>
      <c r="E20" s="21"/>
    </row>
    <row r="21" customFormat="false" ht="23.85" hidden="false" customHeight="false" outlineLevel="0" collapsed="false">
      <c r="A21" s="20" t="s">
        <v>176</v>
      </c>
      <c r="B21" s="7" t="s">
        <v>177</v>
      </c>
      <c r="C21" s="7" t="s">
        <v>178</v>
      </c>
      <c r="D21" s="5"/>
      <c r="E21" s="21"/>
    </row>
    <row r="22" customFormat="false" ht="15" hidden="false" customHeight="false" outlineLevel="0" collapsed="false">
      <c r="A22" s="20" t="s">
        <v>179</v>
      </c>
      <c r="B22" s="7" t="s">
        <v>180</v>
      </c>
      <c r="C22" s="7" t="s">
        <v>181</v>
      </c>
      <c r="D22" s="5"/>
      <c r="E22" s="21"/>
    </row>
    <row r="23" customFormat="false" ht="15" hidden="false" customHeight="false" outlineLevel="0" collapsed="false">
      <c r="A23" s="20" t="s">
        <v>182</v>
      </c>
      <c r="B23" s="7" t="s">
        <v>131</v>
      </c>
      <c r="C23" s="7" t="s">
        <v>183</v>
      </c>
      <c r="D23" s="5"/>
      <c r="E23" s="21"/>
    </row>
  </sheetData>
  <mergeCells count="4">
    <mergeCell ref="A1:E1"/>
    <mergeCell ref="A2:E2"/>
    <mergeCell ref="A4:E4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5"/>
    <col collapsed="false" customWidth="true" hidden="false" outlineLevel="0" max="4" min="3" style="0" width="28"/>
    <col collapsed="false" customWidth="true" hidden="false" outlineLevel="0" max="5" min="5" style="0" width="32"/>
  </cols>
  <sheetData>
    <row r="1" customFormat="false" ht="30" hidden="false" customHeight="true" outlineLevel="0" collapsed="false">
      <c r="A1" s="1" t="s">
        <v>184</v>
      </c>
      <c r="B1" s="1"/>
      <c r="C1" s="1"/>
      <c r="D1" s="1"/>
      <c r="E1" s="1"/>
    </row>
    <row r="2" customFormat="false" ht="15" hidden="false" customHeight="true" outlineLevel="0" collapsed="false">
      <c r="A2" s="2" t="s">
        <v>185</v>
      </c>
      <c r="B2" s="2"/>
      <c r="C2" s="2"/>
      <c r="D2" s="2"/>
      <c r="E2" s="2"/>
    </row>
    <row r="4" customFormat="false" ht="24" hidden="false" customHeight="true" outlineLevel="0" collapsed="false">
      <c r="A4" s="22" t="s">
        <v>34</v>
      </c>
      <c r="B4" s="22"/>
      <c r="C4" s="22"/>
      <c r="D4" s="22"/>
      <c r="E4" s="22"/>
    </row>
    <row r="5" customFormat="false" ht="27.75" hidden="false" customHeight="true" outlineLevel="0" collapsed="false">
      <c r="A5" s="3" t="s">
        <v>69</v>
      </c>
      <c r="B5" s="3" t="s">
        <v>186</v>
      </c>
      <c r="C5" s="3" t="s">
        <v>187</v>
      </c>
      <c r="D5" s="3" t="s">
        <v>188</v>
      </c>
      <c r="E5" s="3" t="s">
        <v>71</v>
      </c>
    </row>
    <row r="6" customFormat="false" ht="15" hidden="false" customHeight="false" outlineLevel="0" collapsed="false">
      <c r="A6" s="20" t="s">
        <v>72</v>
      </c>
      <c r="B6" s="6" t="n">
        <v>600</v>
      </c>
      <c r="C6" s="12" t="n">
        <v>1500</v>
      </c>
      <c r="D6" s="6" t="n">
        <v>3000</v>
      </c>
      <c r="E6" s="21" t="s">
        <v>189</v>
      </c>
    </row>
    <row r="7" customFormat="false" ht="15" hidden="false" customHeight="false" outlineLevel="0" collapsed="false">
      <c r="A7" s="20" t="s">
        <v>190</v>
      </c>
      <c r="B7" s="7" t="s">
        <v>191</v>
      </c>
      <c r="C7" s="7" t="s">
        <v>192</v>
      </c>
      <c r="D7" s="7" t="s">
        <v>193</v>
      </c>
      <c r="E7" s="21"/>
    </row>
    <row r="8" customFormat="false" ht="23.85" hidden="false" customHeight="false" outlineLevel="0" collapsed="false">
      <c r="A8" s="20" t="s">
        <v>194</v>
      </c>
      <c r="B8" s="7" t="s">
        <v>195</v>
      </c>
      <c r="C8" s="7" t="s">
        <v>196</v>
      </c>
      <c r="D8" s="7" t="s">
        <v>197</v>
      </c>
      <c r="E8" s="21"/>
    </row>
    <row r="9" customFormat="false" ht="15" hidden="false" customHeight="false" outlineLevel="0" collapsed="false">
      <c r="A9" s="20" t="s">
        <v>198</v>
      </c>
      <c r="B9" s="7" t="s">
        <v>199</v>
      </c>
      <c r="C9" s="7" t="s">
        <v>200</v>
      </c>
      <c r="D9" s="7" t="s">
        <v>201</v>
      </c>
      <c r="E9" s="21"/>
    </row>
    <row r="10" customFormat="false" ht="15" hidden="false" customHeight="false" outlineLevel="0" collapsed="false">
      <c r="A10" s="20" t="s">
        <v>202</v>
      </c>
      <c r="B10" s="7" t="s">
        <v>203</v>
      </c>
      <c r="C10" s="7" t="s">
        <v>204</v>
      </c>
      <c r="D10" s="7" t="s">
        <v>205</v>
      </c>
      <c r="E10" s="21"/>
    </row>
    <row r="11" customFormat="false" ht="15" hidden="false" customHeight="false" outlineLevel="0" collapsed="false">
      <c r="A11" s="20" t="s">
        <v>206</v>
      </c>
      <c r="B11" s="7" t="s">
        <v>19</v>
      </c>
      <c r="C11" s="7" t="s">
        <v>207</v>
      </c>
      <c r="D11" s="7" t="s">
        <v>208</v>
      </c>
      <c r="E11" s="21"/>
    </row>
    <row r="12" customFormat="false" ht="15" hidden="false" customHeight="false" outlineLevel="0" collapsed="false">
      <c r="A12" s="20" t="s">
        <v>162</v>
      </c>
      <c r="B12" s="7" t="s">
        <v>209</v>
      </c>
      <c r="C12" s="7" t="s">
        <v>210</v>
      </c>
      <c r="D12" s="7" t="s">
        <v>211</v>
      </c>
      <c r="E12" s="21"/>
    </row>
    <row r="13" customFormat="false" ht="15" hidden="false" customHeight="false" outlineLevel="0" collapsed="false">
      <c r="A13" s="20" t="s">
        <v>212</v>
      </c>
      <c r="B13" s="7" t="s">
        <v>213</v>
      </c>
      <c r="C13" s="7" t="s">
        <v>213</v>
      </c>
      <c r="D13" s="7" t="s">
        <v>213</v>
      </c>
      <c r="E13" s="21" t="s">
        <v>214</v>
      </c>
    </row>
    <row r="14" customFormat="false" ht="15" hidden="false" customHeight="false" outlineLevel="0" collapsed="false">
      <c r="A14" s="20" t="s">
        <v>182</v>
      </c>
      <c r="B14" s="7" t="s">
        <v>131</v>
      </c>
      <c r="C14" s="7" t="s">
        <v>183</v>
      </c>
      <c r="D14" s="7" t="s">
        <v>169</v>
      </c>
      <c r="E14" s="21"/>
    </row>
    <row r="15" customFormat="false" ht="15" hidden="false" customHeight="false" outlineLevel="0" collapsed="false">
      <c r="A15" s="20" t="s">
        <v>215</v>
      </c>
      <c r="B15" s="7" t="n">
        <v>3</v>
      </c>
      <c r="C15" s="7" t="n">
        <v>3</v>
      </c>
      <c r="D15" s="7" t="n">
        <v>4</v>
      </c>
      <c r="E15" s="21" t="s">
        <v>216</v>
      </c>
    </row>
    <row r="16" customFormat="false" ht="15" hidden="false" customHeight="false" outlineLevel="0" collapsed="false">
      <c r="A16" s="20" t="s">
        <v>217</v>
      </c>
      <c r="B16" s="7" t="s">
        <v>135</v>
      </c>
      <c r="C16" s="7" t="s">
        <v>135</v>
      </c>
      <c r="D16" s="7" t="s">
        <v>135</v>
      </c>
      <c r="E16" s="21" t="s">
        <v>218</v>
      </c>
    </row>
    <row r="18" customFormat="false" ht="24" hidden="false" customHeight="true" outlineLevel="0" collapsed="false">
      <c r="A18" s="22" t="s">
        <v>41</v>
      </c>
      <c r="B18" s="22"/>
      <c r="C18" s="22"/>
      <c r="D18" s="22"/>
      <c r="E18" s="22"/>
    </row>
    <row r="19" customFormat="false" ht="27.75" hidden="false" customHeight="true" outlineLevel="0" collapsed="false">
      <c r="A19" s="3" t="s">
        <v>69</v>
      </c>
      <c r="B19" s="3" t="s">
        <v>219</v>
      </c>
      <c r="C19" s="3" t="s">
        <v>220</v>
      </c>
      <c r="D19" s="3"/>
      <c r="E19" s="3" t="s">
        <v>71</v>
      </c>
    </row>
    <row r="20" customFormat="false" ht="15" hidden="false" customHeight="false" outlineLevel="0" collapsed="false">
      <c r="A20" s="20" t="s">
        <v>221</v>
      </c>
      <c r="B20" s="6" t="n">
        <v>340</v>
      </c>
      <c r="C20" s="7" t="s">
        <v>222</v>
      </c>
      <c r="D20" s="5"/>
      <c r="E20" s="21" t="s">
        <v>223</v>
      </c>
    </row>
    <row r="21" customFormat="false" ht="15" hidden="false" customHeight="false" outlineLevel="0" collapsed="false">
      <c r="A21" s="20" t="s">
        <v>117</v>
      </c>
      <c r="B21" s="7" t="s">
        <v>224</v>
      </c>
      <c r="C21" s="7" t="s">
        <v>225</v>
      </c>
      <c r="D21" s="5"/>
      <c r="E21" s="21"/>
    </row>
    <row r="22" customFormat="false" ht="15" hidden="false" customHeight="false" outlineLevel="0" collapsed="false">
      <c r="A22" s="20" t="s">
        <v>182</v>
      </c>
      <c r="B22" s="7" t="s">
        <v>226</v>
      </c>
      <c r="C22" s="7" t="s">
        <v>227</v>
      </c>
      <c r="D22" s="5"/>
      <c r="E22" s="21"/>
    </row>
    <row r="23" customFormat="false" ht="15" hidden="false" customHeight="false" outlineLevel="0" collapsed="false">
      <c r="A23" s="20" t="s">
        <v>228</v>
      </c>
      <c r="B23" s="7" t="s">
        <v>229</v>
      </c>
      <c r="C23" s="7" t="s">
        <v>230</v>
      </c>
      <c r="D23" s="5"/>
      <c r="E23" s="21"/>
    </row>
  </sheetData>
  <mergeCells count="4">
    <mergeCell ref="A1:E1"/>
    <mergeCell ref="A2:E2"/>
    <mergeCell ref="A4:E4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2"/>
    <col collapsed="false" customWidth="true" hidden="false" outlineLevel="0" max="5" min="5" style="0" width="32"/>
  </cols>
  <sheetData>
    <row r="1" customFormat="false" ht="36" hidden="false" customHeight="true" outlineLevel="0" collapsed="false">
      <c r="A1" s="1" t="s">
        <v>231</v>
      </c>
      <c r="B1" s="1"/>
      <c r="C1" s="1"/>
      <c r="D1" s="1"/>
      <c r="E1" s="1"/>
    </row>
    <row r="2" customFormat="false" ht="15" hidden="false" customHeight="true" outlineLevel="0" collapsed="false">
      <c r="A2" s="2" t="s">
        <v>232</v>
      </c>
      <c r="B2" s="2"/>
      <c r="C2" s="2"/>
      <c r="D2" s="2"/>
      <c r="E2" s="2"/>
    </row>
    <row r="4" customFormat="false" ht="27.75" hidden="false" customHeight="true" outlineLevel="0" collapsed="false">
      <c r="A4" s="9" t="s">
        <v>69</v>
      </c>
      <c r="B4" s="9" t="s">
        <v>51</v>
      </c>
      <c r="C4" s="9" t="s">
        <v>55</v>
      </c>
      <c r="D4" s="9" t="s">
        <v>57</v>
      </c>
      <c r="E4" s="9" t="s">
        <v>233</v>
      </c>
    </row>
    <row r="5" customFormat="false" ht="15" hidden="false" customHeight="false" outlineLevel="0" collapsed="false">
      <c r="A5" s="20" t="s">
        <v>72</v>
      </c>
      <c r="B5" s="6" t="n">
        <v>2000</v>
      </c>
      <c r="C5" s="12" t="n">
        <v>3200</v>
      </c>
      <c r="D5" s="6" t="n">
        <v>6300</v>
      </c>
      <c r="E5" s="21" t="s">
        <v>234</v>
      </c>
    </row>
    <row r="6" customFormat="false" ht="15" hidden="false" customHeight="false" outlineLevel="0" collapsed="false">
      <c r="A6" s="20" t="s">
        <v>74</v>
      </c>
      <c r="B6" s="6" t="n">
        <v>620</v>
      </c>
      <c r="C6" s="12" t="n">
        <v>1150</v>
      </c>
      <c r="D6" s="6" t="n">
        <v>2100</v>
      </c>
      <c r="E6" s="21" t="s">
        <v>234</v>
      </c>
    </row>
    <row r="7" customFormat="false" ht="15" hidden="false" customHeight="false" outlineLevel="0" collapsed="false">
      <c r="A7" s="20" t="s">
        <v>76</v>
      </c>
      <c r="B7" s="7" t="s">
        <v>52</v>
      </c>
      <c r="C7" s="7" t="s">
        <v>52</v>
      </c>
      <c r="D7" s="7" t="s">
        <v>58</v>
      </c>
      <c r="E7" s="21"/>
    </row>
    <row r="8" customFormat="false" ht="15" hidden="false" customHeight="false" outlineLevel="0" collapsed="false">
      <c r="A8" s="20" t="s">
        <v>78</v>
      </c>
      <c r="B8" s="6" t="n">
        <v>500</v>
      </c>
      <c r="C8" s="6" t="n">
        <v>2000</v>
      </c>
      <c r="D8" s="6" t="n">
        <v>5000</v>
      </c>
      <c r="E8" s="21"/>
    </row>
    <row r="9" customFormat="false" ht="15" hidden="false" customHeight="false" outlineLevel="0" collapsed="false">
      <c r="A9" s="20" t="s">
        <v>100</v>
      </c>
      <c r="B9" s="7" t="s">
        <v>53</v>
      </c>
      <c r="C9" s="7" t="s">
        <v>53</v>
      </c>
      <c r="D9" s="7" t="s">
        <v>15</v>
      </c>
      <c r="E9" s="21" t="s">
        <v>235</v>
      </c>
    </row>
    <row r="10" customFormat="false" ht="15" hidden="false" customHeight="false" outlineLevel="0" collapsed="false">
      <c r="A10" s="20" t="s">
        <v>236</v>
      </c>
      <c r="B10" s="7" t="s">
        <v>237</v>
      </c>
      <c r="C10" s="7" t="s">
        <v>238</v>
      </c>
      <c r="D10" s="7" t="s">
        <v>239</v>
      </c>
      <c r="E10" s="21" t="s">
        <v>240</v>
      </c>
    </row>
    <row r="11" customFormat="false" ht="15" hidden="false" customHeight="false" outlineLevel="0" collapsed="false">
      <c r="A11" s="20" t="s">
        <v>241</v>
      </c>
      <c r="B11" s="7" t="s">
        <v>9</v>
      </c>
      <c r="C11" s="7" t="s">
        <v>242</v>
      </c>
      <c r="D11" s="7" t="s">
        <v>14</v>
      </c>
      <c r="E11" s="21"/>
    </row>
    <row r="12" customFormat="false" ht="15" hidden="false" customHeight="false" outlineLevel="0" collapsed="false">
      <c r="A12" s="20" t="s">
        <v>243</v>
      </c>
      <c r="B12" s="7" t="s">
        <v>9</v>
      </c>
      <c r="C12" s="7" t="s">
        <v>242</v>
      </c>
      <c r="D12" s="7" t="s">
        <v>23</v>
      </c>
      <c r="E12" s="21"/>
    </row>
    <row r="13" customFormat="false" ht="15" hidden="false" customHeight="false" outlineLevel="0" collapsed="false">
      <c r="A13" s="20" t="s">
        <v>244</v>
      </c>
      <c r="B13" s="7" t="s">
        <v>18</v>
      </c>
      <c r="C13" s="7" t="s">
        <v>245</v>
      </c>
      <c r="D13" s="7" t="s">
        <v>23</v>
      </c>
      <c r="E13" s="21"/>
    </row>
    <row r="14" customFormat="false" ht="23.85" hidden="false" customHeight="false" outlineLevel="0" collapsed="false">
      <c r="A14" s="20" t="s">
        <v>246</v>
      </c>
      <c r="B14" s="7" t="s">
        <v>247</v>
      </c>
      <c r="C14" s="7" t="s">
        <v>247</v>
      </c>
      <c r="D14" s="7" t="s">
        <v>247</v>
      </c>
      <c r="E14" s="21" t="s">
        <v>248</v>
      </c>
    </row>
    <row r="15" customFormat="false" ht="35.05" hidden="false" customHeight="false" outlineLevel="0" collapsed="false">
      <c r="A15" s="20" t="s">
        <v>249</v>
      </c>
      <c r="B15" s="7" t="s">
        <v>250</v>
      </c>
      <c r="C15" s="7" t="s">
        <v>251</v>
      </c>
      <c r="D15" s="7" t="s">
        <v>252</v>
      </c>
      <c r="E15" s="21"/>
    </row>
    <row r="18" customFormat="false" ht="24" hidden="false" customHeight="true" outlineLevel="0" collapsed="false">
      <c r="A18" s="22" t="s">
        <v>253</v>
      </c>
      <c r="B18" s="22"/>
      <c r="C18" s="22"/>
      <c r="D18" s="22"/>
      <c r="E18" s="22"/>
    </row>
    <row r="20" customFormat="false" ht="15" hidden="false" customHeight="false" outlineLevel="0" collapsed="false">
      <c r="A20" s="3" t="s">
        <v>254</v>
      </c>
      <c r="B20" s="3" t="s">
        <v>255</v>
      </c>
      <c r="C20" s="3" t="s">
        <v>256</v>
      </c>
      <c r="D20" s="3" t="s">
        <v>257</v>
      </c>
    </row>
    <row r="21" customFormat="false" ht="15" hidden="false" customHeight="false" outlineLevel="0" collapsed="false">
      <c r="A21" s="5" t="s">
        <v>174</v>
      </c>
      <c r="B21" s="6" t="n">
        <v>2000</v>
      </c>
      <c r="C21" s="6" t="n">
        <v>3200</v>
      </c>
      <c r="D21" s="6" t="n">
        <v>6300</v>
      </c>
    </row>
    <row r="22" customFormat="false" ht="15" hidden="false" customHeight="false" outlineLevel="0" collapsed="false">
      <c r="A22" s="5" t="s">
        <v>258</v>
      </c>
      <c r="B22" s="6" t="n">
        <v>620</v>
      </c>
      <c r="C22" s="6" t="n">
        <v>1150</v>
      </c>
      <c r="D22" s="6" t="n">
        <v>2100</v>
      </c>
    </row>
    <row r="23" customFormat="false" ht="15" hidden="false" customHeight="false" outlineLevel="0" collapsed="false">
      <c r="A23" s="5" t="s">
        <v>259</v>
      </c>
      <c r="B23" s="28" t="n">
        <v>3</v>
      </c>
      <c r="C23" s="28" t="n">
        <v>3</v>
      </c>
      <c r="D23" s="28" t="n">
        <v>5</v>
      </c>
    </row>
    <row r="24" customFormat="false" ht="15" hidden="false" customHeight="false" outlineLevel="0" collapsed="false">
      <c r="A24" s="5" t="s">
        <v>260</v>
      </c>
      <c r="B24" s="6" t="n">
        <v>500</v>
      </c>
      <c r="C24" s="6" t="n">
        <v>3000</v>
      </c>
      <c r="D24" s="6" t="n">
        <v>8000</v>
      </c>
    </row>
    <row r="25" customFormat="false" ht="15" hidden="false" customHeight="false" outlineLevel="0" collapsed="false">
      <c r="A25" s="5" t="s">
        <v>76</v>
      </c>
      <c r="B25" s="29" t="n">
        <v>0.15</v>
      </c>
      <c r="C25" s="29" t="n">
        <v>0.15</v>
      </c>
      <c r="D25" s="29" t="n">
        <v>0.12</v>
      </c>
    </row>
    <row r="26" customFormat="false" ht="15" hidden="false" customHeight="false" outlineLevel="0" collapsed="false">
      <c r="A26" s="10" t="s">
        <v>261</v>
      </c>
      <c r="B26" s="24" t="n">
        <f aca="false">B24*B25</f>
        <v>75</v>
      </c>
      <c r="C26" s="24" t="n">
        <f aca="false">C24*C25</f>
        <v>450</v>
      </c>
      <c r="D26" s="24" t="n">
        <f aca="false">D24*D25</f>
        <v>960</v>
      </c>
    </row>
    <row r="27" customFormat="false" ht="15" hidden="false" customHeight="false" outlineLevel="0" collapsed="false">
      <c r="A27" s="10" t="s">
        <v>262</v>
      </c>
      <c r="B27" s="24" t="n">
        <f aca="false">(B22+B26)*B23</f>
        <v>2085</v>
      </c>
      <c r="C27" s="24" t="n">
        <f aca="false">(C22+C26)*C23</f>
        <v>4800</v>
      </c>
      <c r="D27" s="24" t="n">
        <f aca="false">(D22+D26)*D23</f>
        <v>15300</v>
      </c>
    </row>
    <row r="28" customFormat="false" ht="15" hidden="false" customHeight="false" outlineLevel="0" collapsed="false">
      <c r="A28" s="30" t="s">
        <v>263</v>
      </c>
      <c r="B28" s="31" t="n">
        <f aca="false">B21+B27</f>
        <v>4085</v>
      </c>
      <c r="C28" s="31" t="n">
        <f aca="false">C21+C27</f>
        <v>8000</v>
      </c>
      <c r="D28" s="31" t="n">
        <f aca="false">D21+D27</f>
        <v>21600</v>
      </c>
    </row>
  </sheetData>
  <mergeCells count="3">
    <mergeCell ref="A1:E1"/>
    <mergeCell ref="A2:E2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35"/>
  </cols>
  <sheetData>
    <row r="1" customFormat="false" ht="30" hidden="false" customHeight="true" outlineLevel="0" collapsed="false">
      <c r="A1" s="1" t="s">
        <v>264</v>
      </c>
      <c r="B1" s="1"/>
      <c r="C1" s="1"/>
      <c r="D1" s="1"/>
    </row>
    <row r="2" customFormat="false" ht="15" hidden="false" customHeight="true" outlineLevel="0" collapsed="false">
      <c r="A2" s="2" t="s">
        <v>265</v>
      </c>
      <c r="B2" s="2"/>
      <c r="C2" s="2"/>
      <c r="D2" s="2"/>
    </row>
    <row r="4" customFormat="false" ht="27.75" hidden="false" customHeight="true" outlineLevel="0" collapsed="false">
      <c r="A4" s="3" t="s">
        <v>266</v>
      </c>
      <c r="B4" s="3" t="s">
        <v>2</v>
      </c>
      <c r="C4" s="3" t="s">
        <v>267</v>
      </c>
      <c r="D4" s="3" t="s">
        <v>71</v>
      </c>
    </row>
    <row r="5" customFormat="false" ht="15" hidden="false" customHeight="false" outlineLevel="0" collapsed="false">
      <c r="A5" s="32" t="s">
        <v>8</v>
      </c>
      <c r="B5" s="8" t="s">
        <v>268</v>
      </c>
      <c r="C5" s="27" t="s">
        <v>269</v>
      </c>
      <c r="D5" s="21" t="s">
        <v>270</v>
      </c>
    </row>
    <row r="6" customFormat="false" ht="15" hidden="false" customHeight="false" outlineLevel="0" collapsed="false">
      <c r="A6" s="33"/>
      <c r="B6" s="8" t="s">
        <v>271</v>
      </c>
      <c r="C6" s="27" t="s">
        <v>272</v>
      </c>
      <c r="D6" s="21" t="s">
        <v>270</v>
      </c>
    </row>
    <row r="7" customFormat="false" ht="15" hidden="false" customHeight="false" outlineLevel="0" collapsed="false">
      <c r="A7" s="33"/>
      <c r="B7" s="8" t="s">
        <v>273</v>
      </c>
      <c r="C7" s="27" t="s">
        <v>274</v>
      </c>
      <c r="D7" s="21"/>
    </row>
    <row r="8" customFormat="false" ht="15" hidden="false" customHeight="false" outlineLevel="0" collapsed="false">
      <c r="A8" s="33"/>
      <c r="B8" s="8" t="s">
        <v>275</v>
      </c>
      <c r="C8" s="27" t="s">
        <v>276</v>
      </c>
      <c r="D8" s="21"/>
    </row>
    <row r="9" customFormat="false" ht="15" hidden="false" customHeight="false" outlineLevel="0" collapsed="false">
      <c r="A9" s="33"/>
      <c r="B9" s="8" t="s">
        <v>277</v>
      </c>
      <c r="C9" s="27" t="s">
        <v>278</v>
      </c>
      <c r="D9" s="21" t="s">
        <v>279</v>
      </c>
    </row>
    <row r="10" customFormat="false" ht="22.35" hidden="false" customHeight="false" outlineLevel="0" collapsed="false">
      <c r="A10" s="33"/>
      <c r="B10" s="8" t="s">
        <v>280</v>
      </c>
      <c r="C10" s="27" t="s">
        <v>281</v>
      </c>
      <c r="D10" s="21" t="s">
        <v>282</v>
      </c>
    </row>
    <row r="11" customFormat="false" ht="15" hidden="false" customHeight="false" outlineLevel="0" collapsed="false">
      <c r="A11" s="32" t="s">
        <v>17</v>
      </c>
      <c r="B11" s="8" t="s">
        <v>283</v>
      </c>
      <c r="C11" s="27" t="s">
        <v>284</v>
      </c>
      <c r="D11" s="21"/>
    </row>
    <row r="12" customFormat="false" ht="15" hidden="false" customHeight="false" outlineLevel="0" collapsed="false">
      <c r="A12" s="33"/>
      <c r="B12" s="8" t="s">
        <v>285</v>
      </c>
      <c r="C12" s="27" t="s">
        <v>286</v>
      </c>
      <c r="D12" s="21"/>
    </row>
    <row r="13" customFormat="false" ht="15" hidden="false" customHeight="false" outlineLevel="0" collapsed="false">
      <c r="A13" s="33"/>
      <c r="B13" s="8" t="s">
        <v>287</v>
      </c>
      <c r="C13" s="27" t="s">
        <v>281</v>
      </c>
      <c r="D13" s="21"/>
    </row>
    <row r="14" customFormat="false" ht="15" hidden="false" customHeight="false" outlineLevel="0" collapsed="false">
      <c r="A14" s="33"/>
      <c r="B14" s="8" t="s">
        <v>288</v>
      </c>
      <c r="C14" s="27" t="s">
        <v>289</v>
      </c>
      <c r="D14" s="21"/>
    </row>
    <row r="15" customFormat="false" ht="15" hidden="false" customHeight="false" outlineLevel="0" collapsed="false">
      <c r="A15" s="33"/>
      <c r="B15" s="8" t="s">
        <v>290</v>
      </c>
      <c r="C15" s="27" t="s">
        <v>291</v>
      </c>
      <c r="D15" s="21" t="s">
        <v>292</v>
      </c>
    </row>
    <row r="16" customFormat="false" ht="15" hidden="false" customHeight="false" outlineLevel="0" collapsed="false">
      <c r="A16" s="32" t="s">
        <v>140</v>
      </c>
      <c r="B16" s="8" t="s">
        <v>293</v>
      </c>
      <c r="C16" s="27" t="s">
        <v>294</v>
      </c>
      <c r="D16" s="21" t="s">
        <v>295</v>
      </c>
    </row>
    <row r="17" customFormat="false" ht="15" hidden="false" customHeight="false" outlineLevel="0" collapsed="false">
      <c r="A17" s="33"/>
      <c r="B17" s="8" t="s">
        <v>296</v>
      </c>
      <c r="C17" s="27" t="s">
        <v>297</v>
      </c>
      <c r="D17" s="21"/>
    </row>
    <row r="18" customFormat="false" ht="15" hidden="false" customHeight="false" outlineLevel="0" collapsed="false">
      <c r="A18" s="33"/>
      <c r="B18" s="8" t="s">
        <v>298</v>
      </c>
      <c r="C18" s="27" t="s">
        <v>281</v>
      </c>
      <c r="D18" s="21"/>
    </row>
    <row r="19" customFormat="false" ht="15" hidden="false" customHeight="false" outlineLevel="0" collapsed="false">
      <c r="A19" s="33"/>
      <c r="B19" s="8" t="s">
        <v>299</v>
      </c>
      <c r="C19" s="27" t="s">
        <v>269</v>
      </c>
      <c r="D19" s="21"/>
    </row>
    <row r="20" customFormat="false" ht="15" hidden="false" customHeight="false" outlineLevel="0" collapsed="false">
      <c r="A20" s="33"/>
      <c r="B20" s="8" t="s">
        <v>300</v>
      </c>
      <c r="C20" s="27" t="s">
        <v>301</v>
      </c>
      <c r="D20" s="21"/>
    </row>
    <row r="21" customFormat="false" ht="15" hidden="false" customHeight="false" outlineLevel="0" collapsed="false">
      <c r="A21" s="33"/>
      <c r="B21" s="8" t="s">
        <v>302</v>
      </c>
      <c r="C21" s="27" t="s">
        <v>303</v>
      </c>
      <c r="D21" s="21"/>
    </row>
    <row r="22" customFormat="false" ht="15" hidden="false" customHeight="false" outlineLevel="0" collapsed="false">
      <c r="A22" s="33"/>
      <c r="B22" s="8" t="s">
        <v>304</v>
      </c>
      <c r="C22" s="27" t="s">
        <v>305</v>
      </c>
      <c r="D22" s="21"/>
    </row>
    <row r="23" customFormat="false" ht="15" hidden="false" customHeight="false" outlineLevel="0" collapsed="false">
      <c r="A23" s="33"/>
      <c r="B23" s="8" t="s">
        <v>306</v>
      </c>
      <c r="C23" s="27" t="s">
        <v>281</v>
      </c>
      <c r="D23" s="21"/>
    </row>
    <row r="24" customFormat="false" ht="15" hidden="false" customHeight="false" outlineLevel="0" collapsed="false">
      <c r="A24" s="32" t="s">
        <v>34</v>
      </c>
      <c r="B24" s="8" t="s">
        <v>307</v>
      </c>
      <c r="C24" s="27" t="s">
        <v>308</v>
      </c>
      <c r="D24" s="21"/>
    </row>
    <row r="25" customFormat="false" ht="15" hidden="false" customHeight="false" outlineLevel="0" collapsed="false">
      <c r="A25" s="33"/>
      <c r="B25" s="8" t="s">
        <v>309</v>
      </c>
      <c r="C25" s="27" t="s">
        <v>269</v>
      </c>
      <c r="D25" s="21" t="s">
        <v>270</v>
      </c>
    </row>
    <row r="26" customFormat="false" ht="15" hidden="false" customHeight="false" outlineLevel="0" collapsed="false">
      <c r="A26" s="33"/>
      <c r="B26" s="8" t="s">
        <v>310</v>
      </c>
      <c r="C26" s="27" t="s">
        <v>311</v>
      </c>
      <c r="D26" s="21"/>
    </row>
    <row r="27" customFormat="false" ht="15" hidden="false" customHeight="false" outlineLevel="0" collapsed="false">
      <c r="A27" s="33"/>
      <c r="B27" s="8" t="s">
        <v>312</v>
      </c>
      <c r="C27" s="27" t="s">
        <v>313</v>
      </c>
      <c r="D27" s="21"/>
    </row>
    <row r="28" customFormat="false" ht="15" hidden="false" customHeight="false" outlineLevel="0" collapsed="false">
      <c r="A28" s="33"/>
      <c r="B28" s="8" t="s">
        <v>314</v>
      </c>
      <c r="C28" s="27" t="s">
        <v>269</v>
      </c>
      <c r="D28" s="21"/>
    </row>
    <row r="29" customFormat="false" ht="15" hidden="false" customHeight="false" outlineLevel="0" collapsed="false">
      <c r="A29" s="33"/>
      <c r="B29" s="8" t="s">
        <v>315</v>
      </c>
      <c r="C29" s="27" t="s">
        <v>316</v>
      </c>
      <c r="D29" s="21"/>
    </row>
    <row r="30" customFormat="false" ht="15" hidden="false" customHeight="false" outlineLevel="0" collapsed="false">
      <c r="A30" s="33"/>
      <c r="B30" s="8" t="s">
        <v>317</v>
      </c>
      <c r="C30" s="27" t="s">
        <v>318</v>
      </c>
      <c r="D30" s="21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0"/>
    <col collapsed="false" customWidth="true" hidden="false" outlineLevel="0" max="4" min="3" style="0" width="5"/>
  </cols>
  <sheetData>
    <row r="1" customFormat="false" ht="30" hidden="false" customHeight="true" outlineLevel="0" collapsed="false">
      <c r="A1" s="1" t="s">
        <v>319</v>
      </c>
      <c r="B1" s="1"/>
      <c r="C1" s="1"/>
      <c r="D1" s="1"/>
    </row>
    <row r="2" customFormat="false" ht="15" hidden="false" customHeight="true" outlineLevel="0" collapsed="false">
      <c r="A2" s="2" t="s">
        <v>320</v>
      </c>
      <c r="B2" s="2"/>
      <c r="C2" s="2"/>
      <c r="D2" s="2"/>
    </row>
    <row r="4" customFormat="false" ht="24" hidden="false" customHeight="true" outlineLevel="0" collapsed="false">
      <c r="A4" s="22" t="s">
        <v>321</v>
      </c>
      <c r="B4" s="22"/>
      <c r="C4" s="22"/>
      <c r="D4" s="22"/>
    </row>
    <row r="6" customFormat="false" ht="15" hidden="false" customHeight="false" outlineLevel="0" collapsed="false">
      <c r="A6" s="5" t="s">
        <v>322</v>
      </c>
      <c r="B6" s="12" t="n">
        <v>1500</v>
      </c>
    </row>
    <row r="7" customFormat="false" ht="15" hidden="false" customHeight="false" outlineLevel="0" collapsed="false">
      <c r="A7" s="5" t="s">
        <v>323</v>
      </c>
      <c r="B7" s="12" t="n">
        <v>900</v>
      </c>
    </row>
    <row r="8" customFormat="false" ht="15" hidden="false" customHeight="false" outlineLevel="0" collapsed="false">
      <c r="A8" s="5" t="s">
        <v>324</v>
      </c>
      <c r="B8" s="12" t="n">
        <v>3000</v>
      </c>
    </row>
    <row r="9" customFormat="false" ht="15" hidden="false" customHeight="false" outlineLevel="0" collapsed="false">
      <c r="A9" s="5" t="s">
        <v>76</v>
      </c>
      <c r="B9" s="34" t="n">
        <v>0.15</v>
      </c>
    </row>
    <row r="10" customFormat="false" ht="15" hidden="false" customHeight="false" outlineLevel="0" collapsed="false">
      <c r="A10" s="5" t="s">
        <v>325</v>
      </c>
      <c r="B10" s="35" t="n">
        <v>3</v>
      </c>
    </row>
    <row r="11" customFormat="false" ht="15" hidden="false" customHeight="false" outlineLevel="0" collapsed="false">
      <c r="A11" s="5" t="s">
        <v>326</v>
      </c>
      <c r="B11" s="12" t="n">
        <v>0</v>
      </c>
    </row>
    <row r="14" customFormat="false" ht="24" hidden="false" customHeight="true" outlineLevel="0" collapsed="false">
      <c r="A14" s="22" t="s">
        <v>327</v>
      </c>
      <c r="B14" s="22"/>
      <c r="C14" s="22"/>
      <c r="D14" s="22"/>
    </row>
    <row r="16" customFormat="false" ht="15" hidden="false" customHeight="false" outlineLevel="0" collapsed="false">
      <c r="A16" s="5" t="s">
        <v>261</v>
      </c>
      <c r="B16" s="24" t="n">
        <f aca="false">B8*B9</f>
        <v>450</v>
      </c>
    </row>
    <row r="17" customFormat="false" ht="15" hidden="false" customHeight="false" outlineLevel="0" collapsed="false">
      <c r="A17" s="5" t="s">
        <v>328</v>
      </c>
      <c r="B17" s="36" t="n">
        <f aca="false">B6+B7+B16+B11</f>
        <v>2850</v>
      </c>
    </row>
    <row r="18" customFormat="false" ht="15" hidden="false" customHeight="false" outlineLevel="0" collapsed="false">
      <c r="A18" s="5" t="s">
        <v>329</v>
      </c>
      <c r="B18" s="36" t="n">
        <f aca="false">B7+B16</f>
        <v>1350</v>
      </c>
    </row>
    <row r="19" customFormat="false" ht="15" hidden="false" customHeight="false" outlineLevel="0" collapsed="false">
      <c r="A19" s="37" t="s">
        <v>330</v>
      </c>
      <c r="B19" s="38" t="n">
        <f aca="false">B17+B18*(B10-1)</f>
        <v>5550</v>
      </c>
    </row>
    <row r="22" customFormat="false" ht="22.35" hidden="false" customHeight="true" outlineLevel="0" collapsed="false">
      <c r="A22" s="39" t="s">
        <v>331</v>
      </c>
      <c r="B22" s="39"/>
      <c r="C22" s="39"/>
      <c r="D22" s="39"/>
    </row>
  </sheetData>
  <mergeCells count="5">
    <mergeCell ref="A1:D1"/>
    <mergeCell ref="A2:D2"/>
    <mergeCell ref="A4:D4"/>
    <mergeCell ref="A14:D14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2026-04-25T19:52:18Z</dcterms:created>
  <dc:creator>openpyxl</dc:creator>
  <dc:description/>
  <dc:language>en-US</dc:language>
  <cp:lastModifiedBy/>
  <dcterms:modified xsi:type="dcterms:W3CDTF">2026-04-25T19:52:18Z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